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AnissaAskri\Downloads\"/>
    </mc:Choice>
  </mc:AlternateContent>
  <xr:revisionPtr revIDLastSave="0" documentId="8_{7583607F-2473-4E3A-90C2-E6FE83A2EF5B}" xr6:coauthVersionLast="47" xr6:coauthVersionMax="47" xr10:uidLastSave="{00000000-0000-0000-0000-000000000000}"/>
  <bookViews>
    <workbookView xWindow="-28920" yWindow="-120" windowWidth="29040" windowHeight="15720" xr2:uid="{41B3A070-20C8-41F6-B9B6-ABEEEE44FD55}"/>
  </bookViews>
  <sheets>
    <sheet name="OBSERVATIONS SIMULATEUR" sheetId="1" r:id="rId1"/>
    <sheet name="BS SIMUL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I11" i="1"/>
  <c r="H13" i="1"/>
  <c r="C11" i="1"/>
  <c r="C12" i="1"/>
  <c r="E12" i="1" l="1"/>
  <c r="F12" i="1" s="1"/>
  <c r="I12" i="1" s="1"/>
  <c r="I13" i="1" s="1"/>
  <c r="E11" i="1"/>
  <c r="F11" i="1" s="1"/>
  <c r="F1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tc={12AC4856-F61B-47CE-807E-B72854A03D65}</author>
  </authors>
  <commentList>
    <comment ref="B271" authorId="0" shapeId="0" xr:uid="{12AC4856-F61B-47CE-807E-B72854A03D65}">
      <text>
        <t>[Threaded comment]
Your version of Excel allows you to read this threaded comment; however, any edits to it will get removed if the file is opened in a newer version of Excel. Learn more: https://go.microsoft.com/fwlink/?linkid=870924
Comment:
    Intégrer tous les calculs des frais</t>
      </text>
    </comment>
  </commentList>
</comments>
</file>

<file path=xl/sharedStrings.xml><?xml version="1.0" encoding="utf-8"?>
<sst xmlns="http://schemas.openxmlformats.org/spreadsheetml/2006/main" count="153" uniqueCount="139">
  <si>
    <t>Elements pris en compte pour simulation BS</t>
  </si>
  <si>
    <t>19j/mois</t>
  </si>
  <si>
    <t>TJM 500 €</t>
  </si>
  <si>
    <t>Frais de gestion 5%</t>
  </si>
  <si>
    <t>Pas de TR</t>
  </si>
  <si>
    <t>Avec Mutuelle</t>
  </si>
  <si>
    <t>Pas de Frais</t>
  </si>
  <si>
    <t>SALAIRE DE BASE</t>
  </si>
  <si>
    <t>INDEMNITE APPORT AFFAIRES</t>
  </si>
  <si>
    <t>COMPLEMENT DE REMUNERATION</t>
  </si>
  <si>
    <t xml:space="preserve">INDEMNITES CONGES PAYES </t>
  </si>
  <si>
    <t>SALAIRE BRUT</t>
  </si>
  <si>
    <t>CHARGES SALARIALES</t>
  </si>
  <si>
    <t>CHARGES PATRONALES</t>
  </si>
  <si>
    <t>NET AVANT IMPOTS</t>
  </si>
  <si>
    <t>SIMULATEUR OLIVIER</t>
  </si>
  <si>
    <t>SIMULATION SILAE</t>
  </si>
  <si>
    <t>ECART</t>
  </si>
  <si>
    <t>Observations :</t>
  </si>
  <si>
    <t>Sujet 1 : Complément de rémunération</t>
  </si>
  <si>
    <t>Complément de rémunération -&gt; Ecart / Revoir les cotisations sociales sur le bulletin de salaire transmis (voir onglet BS SIMULATION)</t>
  </si>
  <si>
    <t xml:space="preserve">Précisions : </t>
  </si>
  <si>
    <t>Le complément allocations familiales et le complément maladie se déclenchent selon certains critères :</t>
  </si>
  <si>
    <t>SI SALAIRE BRUT &gt; 3,3 X SMIC alors déclenchement du complément allocations familiales avec taux à 1,8%</t>
  </si>
  <si>
    <t>SI SALAIRE BRUT &gt; 2,25 X SMIC alors déclenchement du complément maladie avec taux à 6%</t>
  </si>
  <si>
    <t xml:space="preserve">Exemple : </t>
  </si>
  <si>
    <t xml:space="preserve">A la place de "complément de rémunération" -&gt; différencier complément de rémunération et complément apport d'affaires </t>
  </si>
  <si>
    <t xml:space="preserve">SIMULATEUR </t>
  </si>
  <si>
    <t>Tu as trouvé 2934,68 €</t>
  </si>
  <si>
    <t xml:space="preserve">Saisir les deux intitulés </t>
  </si>
  <si>
    <t xml:space="preserve">Calculs </t>
  </si>
  <si>
    <t xml:space="preserve">       -&gt; Complément de rémunération = 2934,68 / 1,05 = soit 2794,93 €</t>
  </si>
  <si>
    <t xml:space="preserve">        -&gt; Complément apport d'affaires = 2934,68-2794,93 = 139,75 €</t>
  </si>
  <si>
    <t>Sujet 2 : Coût Global Sans Réserve Financière</t>
  </si>
  <si>
    <t>Dans l'onglet configuration, ajouter le coût global sans la réserve financière</t>
  </si>
  <si>
    <t>Cet élément permettra de déterminer la réserve financière provisionnée</t>
  </si>
  <si>
    <t>COUT GLOBAL SANS RESERVE FINANCIERE = SALAIRE BRUT + CHARGES PATRONALES + TOTAL FRAIS</t>
  </si>
  <si>
    <r>
      <t xml:space="preserve">Prenons exemple avec ton simulateur -&gt;  5970,12 + 2787,45 + 0 = </t>
    </r>
    <r>
      <rPr>
        <b/>
        <sz val="11"/>
        <color theme="5"/>
        <rFont val="Aptos Narrow"/>
        <family val="2"/>
        <scheme val="minor"/>
      </rPr>
      <t>8757,57 €</t>
    </r>
  </si>
  <si>
    <t xml:space="preserve">Sujet 3 : Provisions Réserve Financière </t>
  </si>
  <si>
    <t>Mettre en évidence la Réserve Financière provisionnée chargée.</t>
  </si>
  <si>
    <t xml:space="preserve">SIMULATEUR OLIVIER </t>
  </si>
  <si>
    <t>Retirer le terme "Epargne" et remplacer par Réserve Financière Provisionnée chargée</t>
  </si>
  <si>
    <t>RESERVE FINANCIERE CHARGEE = MONTANT DISPONIBLE - COUT GLOBAL SANS RESERVE FINANCIERE</t>
  </si>
  <si>
    <t>A remplacer -&gt; Le terme "MASSE SALARIAL DISPONIBLE" par "MONTANT DISPONIBLE"</t>
  </si>
  <si>
    <r>
      <t>Prenons exemple avec ton simulateur et mon calcul précédent du coût global sans réserve financière -&gt; 9025 -</t>
    </r>
    <r>
      <rPr>
        <b/>
        <sz val="11"/>
        <color theme="5"/>
        <rFont val="Aptos Narrow"/>
        <family val="2"/>
        <scheme val="minor"/>
      </rPr>
      <t xml:space="preserve"> 8757,57</t>
    </r>
    <r>
      <rPr>
        <sz val="11"/>
        <color theme="1"/>
        <rFont val="Aptos Narrow"/>
        <family val="2"/>
        <scheme val="minor"/>
      </rPr>
      <t xml:space="preserve"> = 267,43 €*</t>
    </r>
  </si>
  <si>
    <t>*A noter qu'une réserve financière provisionnée est environ égale à 350/370 € ; 267,43 € est un montant erroné car il y a un écart sur le complément de rémunération et par conséquent sur les charges patronales.</t>
  </si>
  <si>
    <t xml:space="preserve">Sujet 4: Frais </t>
  </si>
  <si>
    <t>FRAIS IMPOSABLES</t>
  </si>
  <si>
    <t>FRAIS NON IMPOSABLES</t>
  </si>
  <si>
    <t>Indemnité Kilométrique</t>
  </si>
  <si>
    <t>Indemnité Grand Déplacement</t>
  </si>
  <si>
    <t>Transports Train, Avion</t>
  </si>
  <si>
    <t>Abonnement Téléphonique</t>
  </si>
  <si>
    <t>Péage</t>
  </si>
  <si>
    <t>Abonnement Internet</t>
  </si>
  <si>
    <t>Taxi</t>
  </si>
  <si>
    <t>Abonnement transport en commun</t>
  </si>
  <si>
    <t>Parking</t>
  </si>
  <si>
    <t>Achat Matériel</t>
  </si>
  <si>
    <t>Invitation Déjeuner</t>
  </si>
  <si>
    <t>Allocation forfaitaire Télétravail</t>
  </si>
  <si>
    <t>Abonnement Prospection type Linkdin, Licence professionnel etc …</t>
  </si>
  <si>
    <t>La BU Portage Salarial demande la possibilité de prendre en compte les barèmes jusqu'à 5000 km et ceux au-delà de 20 000 km.</t>
  </si>
  <si>
    <t>Le BO priviligie les barèmes au-delà de 20 000km.</t>
  </si>
  <si>
    <t>Prendre en considération la demande de la BU Portage Salarial</t>
  </si>
  <si>
    <t>SUGGESTIONS DE AAI</t>
  </si>
  <si>
    <t>Ajouter un champ pour les chevaux fiscaux de 3 à 7+ pour voiture</t>
  </si>
  <si>
    <t>Ajouter un champ Seuil Kilomètres avec un choix " Jusqu'à 5000km/an" ou "Au-delà de 20 000 km/an</t>
  </si>
  <si>
    <t xml:space="preserve">Ajouter un champ barème Urssaf avec condition : </t>
  </si>
  <si>
    <t>Exemple : si 3CV et "Jusqu'à 5000km/an", alors barème Urssaf = 0,529</t>
  </si>
  <si>
    <t>si 4CV et "Au-delà de 20 000 km" alors barème Urssaf = 0,407</t>
  </si>
  <si>
    <t>Faire de même pour le barème URSSAF MOTO</t>
  </si>
  <si>
    <t>Ajouter un champ pour les chevaux fiscaux de 1 à 5+ pour moto</t>
  </si>
  <si>
    <t>Ajouter un champ Seuil Kilomètres avec un choix " Jusqu'à 3000km/an" ou "Au-delà de 6000 km/an</t>
  </si>
  <si>
    <t>Si impossible, faire simple -&gt; créer champ barème Urssaf uniquement</t>
  </si>
  <si>
    <t xml:space="preserve">Intégrer le calcul des frais indemnités kilométriques </t>
  </si>
  <si>
    <t>Frais Indemnité Kilométrique = Nb de Kilomètre X Barème Urssaf</t>
  </si>
  <si>
    <t>Ajouter un champ Indemnité Grand Déplacement Repas</t>
  </si>
  <si>
    <t>Ajouter un champ Indemnité Grand Déplacement Nuitée</t>
  </si>
  <si>
    <t>Intégrer le calcul des frais indemnités grand déplacement</t>
  </si>
  <si>
    <t>Frais Indemnité GD Repas = Nb de repas X Barème Urssaf</t>
  </si>
  <si>
    <t>Frais Indemnité GD Nuitée = Nb de nuitée X Barème Urssaf</t>
  </si>
  <si>
    <t>Autres Frais</t>
  </si>
  <si>
    <t>Rectifier le libellé du champ "Repas/Divers" par Autres Frais</t>
  </si>
  <si>
    <t>Pris en charge à 100 %, basés sur les montants communiqués par le prospect</t>
  </si>
  <si>
    <t>Exemple : Péage, Taxi, Parking, Transport train, avion, invitation déjeuner etc …</t>
  </si>
  <si>
    <t>Sujet 5 : Net avant Impôts sur le Revenu/Net Imposable</t>
  </si>
  <si>
    <t>Ne pas confondre Net Avant Impôts sur le revenu et Net Imposable</t>
  </si>
  <si>
    <t>&gt; NET AVANT IMPOTS sur le revenu = SALAIRE BRUT - TOTAL CHARGES SALARIALES +TOTAL FRAIS (IMPOSABLES ET NON IMPOSABLES)</t>
  </si>
  <si>
    <t>Prenons exemple avec ton simulateur -&gt;  5970,12 - 1406,56 + 0 = 4563,56 €</t>
  </si>
  <si>
    <t>Inclure dans le simulateur</t>
  </si>
  <si>
    <t>&gt;NET IMPOSABLE = NET AVANT IMPÔTS sur le Revenu + CSG/CRDS non déductibles + PART PATRONALE MUTUELLE - FRAIS NON IMPOSABLES + FRAIS IMPOSABLES</t>
  </si>
  <si>
    <t>Prenons exemple avec mon calcul du NET AVANT IMPÔTS sur le Revenu et mon calcul CSG/CRDS non déductibles -&gt;  4563,56 + 173,13 + 30,04 -0 +0 = 4766,73 €</t>
  </si>
  <si>
    <t>Ne pas inclure dans le simulateur</t>
  </si>
  <si>
    <t>Sujet 6 : Net à Payer</t>
  </si>
  <si>
    <t xml:space="preserve">Ne pas inclure le Net A Payer car nous n'avons pas accès au taux Prélèvement à la Source du Prospect </t>
  </si>
  <si>
    <t xml:space="preserve">Néanmoins, je te mets le calcul ;) </t>
  </si>
  <si>
    <t xml:space="preserve">NET A PAYER  = SALAIRE BRUT - TOTAL CHARGES SALARIALES - IMPÔTS SUR LE REVENU PRELEVE A LA SOURCE (TAUX PAS) + TOTAL FRAIS </t>
  </si>
  <si>
    <t>Sujet 7 : Frais d'intermédiation</t>
  </si>
  <si>
    <t>Lorsque S+ trouve une mission au consultant, nous lui déduisons des frais d'intermédiation en plus des frais de gestion.</t>
  </si>
  <si>
    <t>La BU Portage Salarial communique le %</t>
  </si>
  <si>
    <t>Ajouter dans le simulateur Frais d'intermédiation</t>
  </si>
  <si>
    <t>Créer un champ Frais d'intermédiation en % ; voir si possibilité de créer le champ en % et en euros.</t>
  </si>
  <si>
    <t>FRAIS D'INTERMEDIATION = CHIFFRES D'AFFAIRE X TAUX EN POURCENTAGE FRAIS INTERMEDIATION (communiqué par la BU PS ou le commercial en charge du dossier)</t>
  </si>
  <si>
    <t xml:space="preserve">Sujet 9 : Disposition des libellés simulateur </t>
  </si>
  <si>
    <t>Ce que je propose :</t>
  </si>
  <si>
    <t>Chiffres d'affaires (CA)</t>
  </si>
  <si>
    <t>Les couleurs, c'est un kiff perso ;) à ne pas prendre en considération</t>
  </si>
  <si>
    <t>Frais de gestion</t>
  </si>
  <si>
    <t>Frais d'intermédiation</t>
  </si>
  <si>
    <t>MONTANT DISPONIBLE</t>
  </si>
  <si>
    <t>Salaire de Base</t>
  </si>
  <si>
    <t>Prime apport d'affaires</t>
  </si>
  <si>
    <t>Complément de Rémunération</t>
  </si>
  <si>
    <t>Complément apport d'affaires</t>
  </si>
  <si>
    <t>Indemnités Congés Payés</t>
  </si>
  <si>
    <t>Réserve Financière</t>
  </si>
  <si>
    <t>Mutuelle Part Patronale</t>
  </si>
  <si>
    <t>Mutuelle Part Salarial</t>
  </si>
  <si>
    <t>Charges Patronales</t>
  </si>
  <si>
    <t>Charges Salariales</t>
  </si>
  <si>
    <t xml:space="preserve">Frais </t>
  </si>
  <si>
    <t>NET A PAYER AVANT IMPOTS</t>
  </si>
  <si>
    <t>Sujet 10 : Champ Réserve Financière</t>
  </si>
  <si>
    <t>Lorsqu'on coche Réserve Financière, celle-ci apparaît en négatif sur la simulation.</t>
  </si>
  <si>
    <t>De mon point de vue, lorsque je coche la réserve financière, elle doit appaître en positive sur la simulation et non en négative.</t>
  </si>
  <si>
    <t xml:space="preserve">Serait-il possible d'inverser le dispositif stp ? Décocher Réserve fiancière -&gt; Réserve en négative /   Cocher Réserve Financière -&gt; Réserve réintégrée dans le salaire brut </t>
  </si>
  <si>
    <t>Sujet 11 : Titres Restaurants</t>
  </si>
  <si>
    <t>Créer un champ Titres restaurants</t>
  </si>
  <si>
    <t>A noter que les titres restaurants sont inclus dans les charges sociales ; soit 50 % part patronale et 50 % part salariale</t>
  </si>
  <si>
    <t>La part salariale TR est incluse dans le total des charges salariales et idem côté charges patronales.</t>
  </si>
  <si>
    <t xml:space="preserve">Part Salariale = Nbres Titres Restaurants X 7,18 </t>
  </si>
  <si>
    <t xml:space="preserve">Part Patronale = Nbres Titres Restaurants X 7,18 </t>
  </si>
  <si>
    <t>A intégrer dans le calcul des charges sociales</t>
  </si>
  <si>
    <t>Sujet 12 : Explications, PDF et Mise en forme</t>
  </si>
  <si>
    <t>Dans l'ensemble c'est bien, le BO PS te fera un retour ASAP.</t>
  </si>
  <si>
    <t>Il manque quelques éléments et d'autres sont à rectifier.</t>
  </si>
  <si>
    <t>Idem pour le PDF</t>
  </si>
  <si>
    <t>Peut-être choisir les couleurs du PS, à voir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</si>
</sst>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sz val="18"/>
      <color theme="8" tint="-0.249977111117893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  <font>
      <b/>
      <u/>
      <sz val="13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u/>
      <sz val="20"/>
      <color theme="6"/>
      <name val="Aptos Narrow"/>
      <family val="2"/>
      <scheme val="minor"/>
    </font>
    <font>
      <b/>
      <i/>
      <sz val="1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7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3" fillId="0" borderId="9" xfId="0" applyFont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6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8" borderId="8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11" fillId="11" borderId="0" xfId="0" applyFont="1" applyFill="1"/>
    <xf numFmtId="0" fontId="12" fillId="0" borderId="0" xfId="0" applyFont="1"/>
    <xf numFmtId="0" fontId="2" fillId="12" borderId="0" xfId="0" applyFont="1" applyFill="1"/>
    <xf numFmtId="0" fontId="0" fillId="13" borderId="0" xfId="0" applyFill="1"/>
    <xf numFmtId="0" fontId="0" fillId="6" borderId="0" xfId="0" applyFill="1"/>
    <xf numFmtId="0" fontId="0" fillId="14" borderId="0" xfId="0" applyFill="1"/>
    <xf numFmtId="0" fontId="0" fillId="3" borderId="0" xfId="0" applyFill="1"/>
    <xf numFmtId="0" fontId="0" fillId="10" borderId="0" xfId="0" applyFill="1"/>
    <xf numFmtId="0" fontId="0" fillId="15" borderId="0" xfId="0" applyFill="1"/>
    <xf numFmtId="0" fontId="10" fillId="0" borderId="0" xfId="0" applyFont="1"/>
    <xf numFmtId="164" fontId="0" fillId="2" borderId="5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1" fillId="4" borderId="8" xfId="0" applyNumberFormat="1" applyFont="1" applyFill="1" applyBorder="1" applyAlignment="1">
      <alignment horizontal="center"/>
    </xf>
    <xf numFmtId="164" fontId="1" fillId="4" borderId="4" xfId="0" applyNumberFormat="1" applyFont="1" applyFill="1" applyBorder="1" applyAlignment="1">
      <alignment horizontal="center"/>
    </xf>
    <xf numFmtId="164" fontId="1" fillId="4" borderId="3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/>
    <xf numFmtId="0" fontId="15" fillId="0" borderId="0" xfId="0" applyFont="1"/>
    <xf numFmtId="0" fontId="0" fillId="0" borderId="0" xfId="0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10" borderId="14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3</xdr:col>
      <xdr:colOff>1274942</xdr:colOff>
      <xdr:row>54</xdr:row>
      <xdr:rowOff>148697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0D15A91-9684-58DC-F2DA-D2D7F99B4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6875" y="7543800"/>
          <a:ext cx="5745977" cy="12345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4</xdr:col>
      <xdr:colOff>974119</xdr:colOff>
      <xdr:row>44</xdr:row>
      <xdr:rowOff>131848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CD3BCC6F-A418-49E9-0FA8-989A38F62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6875" y="3381375"/>
          <a:ext cx="7666384" cy="465622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5</xdr:col>
      <xdr:colOff>1277012</xdr:colOff>
      <xdr:row>58</xdr:row>
      <xdr:rowOff>20972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4B1F39A-1CD8-208D-F5BF-58956C904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19425" y="10553700"/>
          <a:ext cx="7635902" cy="19813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9</xdr:col>
      <xdr:colOff>168165</xdr:colOff>
      <xdr:row>28</xdr:row>
      <xdr:rowOff>55265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C9AC2FD9-F670-D2CF-23B6-725F9A361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91650" y="5010150"/>
          <a:ext cx="6058425" cy="236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4</xdr:col>
      <xdr:colOff>1429242</xdr:colOff>
      <xdr:row>89</xdr:row>
      <xdr:rowOff>95304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EB9A11C-FC5B-D727-F5D0-6F4B939D4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19425" y="12725400"/>
          <a:ext cx="5677392" cy="624894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92</xdr:row>
      <xdr:rowOff>0</xdr:rowOff>
    </xdr:from>
    <xdr:to>
      <xdr:col>8</xdr:col>
      <xdr:colOff>1158908</xdr:colOff>
      <xdr:row>96</xdr:row>
      <xdr:rowOff>57227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ECDA12DF-B56E-9817-64C4-D6C03F63E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77275" y="16097250"/>
          <a:ext cx="7693058" cy="8954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3</xdr:col>
      <xdr:colOff>1884598</xdr:colOff>
      <xdr:row>135</xdr:row>
      <xdr:rowOff>95562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A18BBA27-4B34-C7F2-E3C9-6030EC1EA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68780" y="23583900"/>
          <a:ext cx="6378493" cy="36045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4</xdr:col>
      <xdr:colOff>474967</xdr:colOff>
      <xdr:row>171</xdr:row>
      <xdr:rowOff>57392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9FA0EB2C-3244-0F43-2257-84B4877A0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59280" y="29954220"/>
          <a:ext cx="7178662" cy="27967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3</xdr:col>
      <xdr:colOff>1998907</xdr:colOff>
      <xdr:row>199</xdr:row>
      <xdr:rowOff>95578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9780231C-3015-77D5-261C-91560CEC8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68880" y="34160460"/>
          <a:ext cx="6485182" cy="37874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276</xdr:row>
      <xdr:rowOff>0</xdr:rowOff>
    </xdr:from>
    <xdr:to>
      <xdr:col>6</xdr:col>
      <xdr:colOff>1048717</xdr:colOff>
      <xdr:row>305</xdr:row>
      <xdr:rowOff>91902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6F4C9929-AD55-5E69-9E8C-D3260DD52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66975" y="58331100"/>
          <a:ext cx="11164267" cy="5334462"/>
        </a:xfrm>
        <a:prstGeom prst="rect">
          <a:avLst/>
        </a:prstGeom>
      </xdr:spPr>
    </xdr:pic>
    <xdr:clientData/>
  </xdr:twoCellAnchor>
  <xdr:twoCellAnchor editAs="oneCell">
    <xdr:from>
      <xdr:col>4</xdr:col>
      <xdr:colOff>1895475</xdr:colOff>
      <xdr:row>84</xdr:row>
      <xdr:rowOff>38100</xdr:rowOff>
    </xdr:from>
    <xdr:to>
      <xdr:col>8</xdr:col>
      <xdr:colOff>133770</xdr:colOff>
      <xdr:row>90</xdr:row>
      <xdr:rowOff>148694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604419A9-8B64-6F35-4EC3-36EBD8E5D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87025" y="14687550"/>
          <a:ext cx="4846740" cy="11964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340</xdr:row>
      <xdr:rowOff>0</xdr:rowOff>
    </xdr:from>
    <xdr:to>
      <xdr:col>3</xdr:col>
      <xdr:colOff>1350645</xdr:colOff>
      <xdr:row>361</xdr:row>
      <xdr:rowOff>59055</xdr:rowOff>
    </xdr:to>
    <xdr:pic>
      <xdr:nvPicPr>
        <xdr:cNvPr id="17" name="Image 16" descr="Merci Français Banque d'images et photos libres de droit - iStock">
          <a:extLst>
            <a:ext uri="{FF2B5EF4-FFF2-40B4-BE49-F238E27FC236}">
              <a16:creationId xmlns:a16="http://schemas.microsoft.com/office/drawing/2014/main" id="{D56DD2C4-D85C-5BE0-E9FE-CE21677BE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8880" y="66758820"/>
          <a:ext cx="5829300" cy="390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316</xdr:row>
      <xdr:rowOff>0</xdr:rowOff>
    </xdr:from>
    <xdr:to>
      <xdr:col>4</xdr:col>
      <xdr:colOff>1825728</xdr:colOff>
      <xdr:row>322</xdr:row>
      <xdr:rowOff>91542</xdr:rowOff>
    </xdr:to>
    <xdr:pic>
      <xdr:nvPicPr>
        <xdr:cNvPr id="23" name="Image 22">
          <a:extLst>
            <a:ext uri="{FF2B5EF4-FFF2-40B4-BE49-F238E27FC236}">
              <a16:creationId xmlns:a16="http://schemas.microsoft.com/office/drawing/2014/main" id="{71BCE677-D31E-33D5-914A-650661878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466975" y="58559700"/>
          <a:ext cx="8512278" cy="11812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485774</xdr:colOff>
      <xdr:row>48</xdr:row>
      <xdr:rowOff>10790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D6849DB-1AE7-3B74-C2E4-C26C5CDF9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10374" cy="869759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issa ASKRI" id="{1C8DBE10-44DC-448F-A598-37403A26EBE9}" userId="S::anissa.askri@signeplus.com::a704339b-71b2-4bbb-a2a5-d2d70b613416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71" dT="2026-01-28T11:11:13.17" personId="{1C8DBE10-44DC-448F-A598-37403A26EBE9}" id="{12AC4856-F61B-47CE-807E-B72854A03D65}">
    <text>Intégrer tous les calculs des frais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1E564-5973-4CE0-A708-11F4EC5708F7}">
  <sheetPr>
    <tabColor theme="5" tint="0.39997558519241921"/>
  </sheetPr>
  <dimension ref="A1:J337"/>
  <sheetViews>
    <sheetView tabSelected="1" topLeftCell="A35" workbookViewId="0">
      <selection activeCell="A67" sqref="A67"/>
    </sheetView>
  </sheetViews>
  <sheetFormatPr defaultColWidth="11.42578125" defaultRowHeight="14.45"/>
  <cols>
    <col min="1" max="1" width="36" customWidth="1"/>
    <col min="2" max="2" width="35.42578125" customWidth="1"/>
    <col min="3" max="3" width="29.85546875" customWidth="1"/>
    <col min="4" max="4" width="32.28515625" customWidth="1"/>
    <col min="5" max="5" width="30.85546875" customWidth="1"/>
    <col min="6" max="6" width="19.28515625" customWidth="1"/>
    <col min="7" max="7" width="21.5703125" customWidth="1"/>
    <col min="8" max="8" width="25" customWidth="1"/>
    <col min="9" max="9" width="20.28515625" customWidth="1"/>
  </cols>
  <sheetData>
    <row r="1" spans="1:9">
      <c r="B1" s="28" t="s">
        <v>0</v>
      </c>
      <c r="C1" s="28"/>
    </row>
    <row r="2" spans="1:9">
      <c r="B2" s="28"/>
      <c r="C2" s="38" t="s">
        <v>1</v>
      </c>
    </row>
    <row r="3" spans="1:9">
      <c r="B3" s="28"/>
      <c r="C3" s="38" t="s">
        <v>2</v>
      </c>
    </row>
    <row r="4" spans="1:9">
      <c r="B4" s="28"/>
      <c r="C4" s="38" t="s">
        <v>3</v>
      </c>
    </row>
    <row r="5" spans="1:9">
      <c r="B5" s="28"/>
      <c r="C5" s="38" t="s">
        <v>4</v>
      </c>
    </row>
    <row r="6" spans="1:9">
      <c r="B6" s="28"/>
      <c r="C6" s="38" t="s">
        <v>5</v>
      </c>
    </row>
    <row r="7" spans="1:9">
      <c r="B7" s="28"/>
      <c r="C7" s="38" t="s">
        <v>6</v>
      </c>
    </row>
    <row r="9" spans="1:9" ht="15" thickBot="1"/>
    <row r="10" spans="1:9" ht="15.6" thickTop="1" thickBot="1">
      <c r="A10" s="1"/>
      <c r="B10" s="5" t="s">
        <v>7</v>
      </c>
      <c r="C10" s="6" t="s">
        <v>8</v>
      </c>
      <c r="D10" s="6" t="s">
        <v>9</v>
      </c>
      <c r="E10" s="6" t="s">
        <v>10</v>
      </c>
      <c r="F10" s="6" t="s">
        <v>11</v>
      </c>
      <c r="G10" s="6" t="s">
        <v>12</v>
      </c>
      <c r="H10" s="6" t="s">
        <v>13</v>
      </c>
      <c r="I10" s="7" t="s">
        <v>14</v>
      </c>
    </row>
    <row r="11" spans="1:9" ht="15" thickTop="1">
      <c r="A11" s="8" t="s">
        <v>15</v>
      </c>
      <c r="B11" s="29">
        <v>2374</v>
      </c>
      <c r="C11" s="30">
        <f>B11*5%</f>
        <v>118.7</v>
      </c>
      <c r="D11" s="30">
        <v>2934.68</v>
      </c>
      <c r="E11" s="30">
        <f>(B11+C11+D11)*10%</f>
        <v>542.73799999999994</v>
      </c>
      <c r="F11" s="30">
        <f>B11+C11+D11+E11</f>
        <v>5970.1179999999995</v>
      </c>
      <c r="G11" s="30">
        <v>1406.56</v>
      </c>
      <c r="H11" s="30">
        <v>2787.45</v>
      </c>
      <c r="I11" s="31">
        <f>4533.52</f>
        <v>4533.5200000000004</v>
      </c>
    </row>
    <row r="12" spans="1:9" ht="15" thickBot="1">
      <c r="A12" s="9" t="s">
        <v>16</v>
      </c>
      <c r="B12" s="32">
        <v>2374</v>
      </c>
      <c r="C12" s="33">
        <f>B12*5%</f>
        <v>118.7</v>
      </c>
      <c r="D12" s="33">
        <v>2966.34</v>
      </c>
      <c r="E12" s="33">
        <f>(B12+C12+D12)*10%</f>
        <v>545.904</v>
      </c>
      <c r="F12" s="33">
        <f>B12+C12+D12+E12</f>
        <v>6004.9439999999995</v>
      </c>
      <c r="G12" s="33">
        <v>1292.6500000000001</v>
      </c>
      <c r="H12" s="33">
        <v>2646.99</v>
      </c>
      <c r="I12" s="34">
        <f>F12-G12</f>
        <v>4712.2939999999999</v>
      </c>
    </row>
    <row r="13" spans="1:9" ht="19.149999999999999" thickTop="1" thickBot="1">
      <c r="A13" s="2"/>
      <c r="B13" s="3"/>
      <c r="C13" s="3"/>
      <c r="D13" s="3"/>
      <c r="E13" s="4" t="s">
        <v>17</v>
      </c>
      <c r="F13" s="35">
        <f>F11-F12</f>
        <v>-34.826000000000022</v>
      </c>
      <c r="G13" s="36">
        <f>G11-G12</f>
        <v>113.90999999999985</v>
      </c>
      <c r="H13" s="36">
        <f>+H11-H12</f>
        <v>140.46000000000004</v>
      </c>
      <c r="I13" s="37">
        <f>I11-I12</f>
        <v>-178.77399999999943</v>
      </c>
    </row>
    <row r="14" spans="1:9" ht="15" thickTop="1"/>
    <row r="16" spans="1:9" ht="25.9">
      <c r="A16" s="10" t="s">
        <v>18</v>
      </c>
      <c r="B16" s="40" t="s">
        <v>19</v>
      </c>
      <c r="C16" s="11"/>
    </row>
    <row r="17" spans="1:10">
      <c r="A17" s="10"/>
    </row>
    <row r="18" spans="1:10">
      <c r="B18" s="14" t="s">
        <v>20</v>
      </c>
    </row>
    <row r="19" spans="1:10">
      <c r="F19" s="12" t="s">
        <v>21</v>
      </c>
      <c r="G19" s="12"/>
      <c r="H19" s="12"/>
      <c r="I19" s="12"/>
      <c r="J19" s="12"/>
    </row>
    <row r="20" spans="1:10">
      <c r="F20" s="12"/>
      <c r="G20" s="12"/>
      <c r="H20" s="12"/>
      <c r="I20" s="12"/>
      <c r="J20" s="12"/>
    </row>
    <row r="21" spans="1:10">
      <c r="F21" s="12" t="s">
        <v>22</v>
      </c>
      <c r="G21" s="12"/>
      <c r="H21" s="12"/>
      <c r="I21" s="12"/>
      <c r="J21" s="12"/>
    </row>
    <row r="22" spans="1:10">
      <c r="F22" s="12"/>
      <c r="G22" s="12"/>
      <c r="H22" s="12"/>
      <c r="I22" s="12"/>
      <c r="J22" s="12"/>
    </row>
    <row r="23" spans="1:10">
      <c r="F23" s="12" t="s">
        <v>23</v>
      </c>
      <c r="G23" s="12"/>
      <c r="H23" s="12"/>
      <c r="I23" s="12"/>
      <c r="J23" s="12"/>
    </row>
    <row r="24" spans="1:10">
      <c r="F24" s="12" t="s">
        <v>24</v>
      </c>
      <c r="G24" s="12"/>
      <c r="H24" s="12"/>
      <c r="I24" s="12"/>
      <c r="J24" s="12"/>
    </row>
    <row r="26" spans="1:10">
      <c r="F26" s="12" t="s">
        <v>25</v>
      </c>
    </row>
    <row r="48" spans="2:2">
      <c r="B48" s="14" t="s">
        <v>26</v>
      </c>
    </row>
    <row r="58" spans="2:2">
      <c r="B58" t="s">
        <v>27</v>
      </c>
    </row>
    <row r="60" spans="2:2">
      <c r="B60" t="s">
        <v>28</v>
      </c>
    </row>
    <row r="61" spans="2:2">
      <c r="B61" s="14" t="s">
        <v>29</v>
      </c>
    </row>
    <row r="62" spans="2:2">
      <c r="B62" s="14"/>
    </row>
    <row r="63" spans="2:2" ht="23.45">
      <c r="B63" s="15" t="s">
        <v>30</v>
      </c>
    </row>
    <row r="64" spans="2:2">
      <c r="B64" t="s">
        <v>31</v>
      </c>
    </row>
    <row r="65" spans="2:2">
      <c r="B65" t="s">
        <v>32</v>
      </c>
    </row>
    <row r="72" spans="2:2" ht="25.9">
      <c r="B72" s="40" t="s">
        <v>33</v>
      </c>
    </row>
    <row r="74" spans="2:2">
      <c r="B74" s="14" t="s">
        <v>34</v>
      </c>
    </row>
    <row r="75" spans="2:2">
      <c r="B75" t="s">
        <v>35</v>
      </c>
    </row>
    <row r="77" spans="2:2" ht="23.45">
      <c r="B77" s="15" t="s">
        <v>30</v>
      </c>
    </row>
    <row r="79" spans="2:2">
      <c r="B79" t="s">
        <v>36</v>
      </c>
    </row>
    <row r="80" spans="2:2">
      <c r="B80" t="s">
        <v>37</v>
      </c>
    </row>
    <row r="83" spans="2:2" ht="25.9">
      <c r="B83" s="40" t="s">
        <v>38</v>
      </c>
    </row>
    <row r="85" spans="2:2">
      <c r="B85" s="14" t="s">
        <v>39</v>
      </c>
    </row>
    <row r="87" spans="2:2">
      <c r="B87" t="s">
        <v>40</v>
      </c>
    </row>
    <row r="91" spans="2:2">
      <c r="B91" s="14" t="s">
        <v>41</v>
      </c>
    </row>
    <row r="93" spans="2:2" ht="23.45">
      <c r="B93" s="15" t="s">
        <v>30</v>
      </c>
    </row>
    <row r="94" spans="2:2">
      <c r="B94" t="s">
        <v>42</v>
      </c>
    </row>
    <row r="95" spans="2:2">
      <c r="B95" s="14" t="s">
        <v>43</v>
      </c>
    </row>
    <row r="98" spans="2:4">
      <c r="B98" t="s">
        <v>44</v>
      </c>
    </row>
    <row r="99" spans="2:4">
      <c r="B99" s="14" t="s">
        <v>45</v>
      </c>
    </row>
    <row r="100" spans="2:4">
      <c r="B100" s="14"/>
    </row>
    <row r="102" spans="2:4" ht="25.9">
      <c r="B102" s="40" t="s">
        <v>46</v>
      </c>
    </row>
    <row r="103" spans="2:4" ht="15" thickBot="1"/>
    <row r="104" spans="2:4" ht="15.6" thickTop="1" thickBot="1">
      <c r="B104" s="16" t="s">
        <v>47</v>
      </c>
      <c r="C104" s="47" t="s">
        <v>48</v>
      </c>
      <c r="D104" s="48"/>
    </row>
    <row r="105" spans="2:4" ht="15" thickTop="1">
      <c r="B105" s="17" t="s">
        <v>49</v>
      </c>
      <c r="C105" s="43" t="s">
        <v>50</v>
      </c>
      <c r="D105" s="44"/>
    </row>
    <row r="106" spans="2:4">
      <c r="B106" s="17" t="s">
        <v>51</v>
      </c>
      <c r="C106" s="43" t="s">
        <v>52</v>
      </c>
      <c r="D106" s="44"/>
    </row>
    <row r="107" spans="2:4">
      <c r="B107" s="17" t="s">
        <v>53</v>
      </c>
      <c r="C107" s="43" t="s">
        <v>54</v>
      </c>
      <c r="D107" s="44"/>
    </row>
    <row r="108" spans="2:4">
      <c r="B108" s="17" t="s">
        <v>55</v>
      </c>
      <c r="C108" s="43" t="s">
        <v>56</v>
      </c>
      <c r="D108" s="44"/>
    </row>
    <row r="109" spans="2:4">
      <c r="B109" s="17" t="s">
        <v>57</v>
      </c>
      <c r="C109" s="43" t="s">
        <v>58</v>
      </c>
      <c r="D109" s="44"/>
    </row>
    <row r="110" spans="2:4">
      <c r="B110" s="17"/>
      <c r="C110" s="43" t="s">
        <v>59</v>
      </c>
      <c r="D110" s="44"/>
    </row>
    <row r="111" spans="2:4">
      <c r="B111" s="17"/>
      <c r="C111" s="43" t="s">
        <v>60</v>
      </c>
      <c r="D111" s="44"/>
    </row>
    <row r="112" spans="2:4" ht="15" thickBot="1">
      <c r="B112" s="18"/>
      <c r="C112" s="45" t="s">
        <v>61</v>
      </c>
      <c r="D112" s="46"/>
    </row>
    <row r="113" spans="1:2" ht="15" thickTop="1"/>
    <row r="114" spans="1:2">
      <c r="B114" s="14"/>
    </row>
    <row r="115" spans="1:2">
      <c r="B115" s="14"/>
    </row>
    <row r="117" spans="1:2" ht="17.45">
      <c r="A117" s="19" t="s">
        <v>49</v>
      </c>
    </row>
    <row r="137" spans="1:2">
      <c r="B137" s="41" t="s">
        <v>62</v>
      </c>
    </row>
    <row r="138" spans="1:2">
      <c r="B138" s="41" t="s">
        <v>63</v>
      </c>
    </row>
    <row r="139" spans="1:2">
      <c r="B139" s="14" t="s">
        <v>64</v>
      </c>
    </row>
    <row r="141" spans="1:2">
      <c r="A141" s="21" t="s">
        <v>65</v>
      </c>
      <c r="B141" s="14" t="s">
        <v>66</v>
      </c>
    </row>
    <row r="142" spans="1:2">
      <c r="B142" s="14" t="s">
        <v>67</v>
      </c>
    </row>
    <row r="143" spans="1:2">
      <c r="B143" s="14"/>
    </row>
    <row r="144" spans="1:2">
      <c r="B144" s="14"/>
    </row>
    <row r="145" spans="1:2">
      <c r="B145" s="14" t="s">
        <v>68</v>
      </c>
    </row>
    <row r="146" spans="1:2">
      <c r="B146" s="20" t="s">
        <v>69</v>
      </c>
    </row>
    <row r="147" spans="1:2">
      <c r="B147" s="20" t="s">
        <v>70</v>
      </c>
    </row>
    <row r="149" spans="1:2">
      <c r="A149" s="10"/>
      <c r="B149" s="14" t="s">
        <v>71</v>
      </c>
    </row>
    <row r="150" spans="1:2">
      <c r="A150" s="10"/>
      <c r="B150" s="14" t="s">
        <v>72</v>
      </c>
    </row>
    <row r="151" spans="1:2">
      <c r="A151" s="10"/>
      <c r="B151" s="14" t="s">
        <v>73</v>
      </c>
    </row>
    <row r="152" spans="1:2">
      <c r="A152" s="10"/>
      <c r="B152" s="14"/>
    </row>
    <row r="153" spans="1:2">
      <c r="A153" s="10"/>
      <c r="B153" s="14" t="s">
        <v>74</v>
      </c>
    </row>
    <row r="154" spans="1:2">
      <c r="A154" s="10"/>
      <c r="B154" s="14"/>
    </row>
    <row r="155" spans="1:2">
      <c r="A155" s="10"/>
      <c r="B155" s="14"/>
    </row>
    <row r="156" spans="1:2">
      <c r="A156" s="10"/>
      <c r="B156" s="14"/>
    </row>
    <row r="173" spans="2:2" ht="23.45">
      <c r="B173" s="15" t="s">
        <v>30</v>
      </c>
    </row>
    <row r="174" spans="2:2">
      <c r="B174" s="14" t="s">
        <v>75</v>
      </c>
    </row>
    <row r="175" spans="2:2">
      <c r="B175" t="s">
        <v>76</v>
      </c>
    </row>
    <row r="180" spans="1:1" ht="17.45">
      <c r="A180" s="19" t="s">
        <v>50</v>
      </c>
    </row>
    <row r="202" spans="2:2">
      <c r="B202" s="14" t="s">
        <v>77</v>
      </c>
    </row>
    <row r="203" spans="2:2">
      <c r="B203" s="14" t="s">
        <v>78</v>
      </c>
    </row>
    <row r="204" spans="2:2">
      <c r="B204" s="14"/>
    </row>
    <row r="205" spans="2:2" ht="23.45">
      <c r="B205" s="15" t="s">
        <v>30</v>
      </c>
    </row>
    <row r="206" spans="2:2">
      <c r="B206" s="14" t="s">
        <v>79</v>
      </c>
    </row>
    <row r="207" spans="2:2">
      <c r="B207" t="s">
        <v>80</v>
      </c>
    </row>
    <row r="208" spans="2:2">
      <c r="B208" t="s">
        <v>81</v>
      </c>
    </row>
    <row r="209" spans="1:2">
      <c r="B209" s="14"/>
    </row>
    <row r="211" spans="1:2" ht="17.45">
      <c r="A211" s="19" t="s">
        <v>82</v>
      </c>
    </row>
    <row r="212" spans="1:2">
      <c r="B212" s="14" t="s">
        <v>83</v>
      </c>
    </row>
    <row r="214" spans="1:2" ht="23.45">
      <c r="B214" s="15" t="s">
        <v>30</v>
      </c>
    </row>
    <row r="215" spans="1:2">
      <c r="B215" t="s">
        <v>84</v>
      </c>
    </row>
    <row r="216" spans="1:2">
      <c r="B216" t="s">
        <v>85</v>
      </c>
    </row>
    <row r="219" spans="1:2" ht="25.9">
      <c r="B219" s="40" t="s">
        <v>86</v>
      </c>
    </row>
    <row r="221" spans="1:2">
      <c r="B221" s="14" t="s">
        <v>87</v>
      </c>
    </row>
    <row r="223" spans="1:2" ht="23.45">
      <c r="B223" s="15" t="s">
        <v>30</v>
      </c>
    </row>
    <row r="224" spans="1:2">
      <c r="B224" t="s">
        <v>88</v>
      </c>
    </row>
    <row r="225" spans="2:2">
      <c r="B225" t="s">
        <v>89</v>
      </c>
    </row>
    <row r="226" spans="2:2">
      <c r="B226" s="14" t="s">
        <v>90</v>
      </c>
    </row>
    <row r="228" spans="2:2">
      <c r="B228" t="s">
        <v>91</v>
      </c>
    </row>
    <row r="229" spans="2:2">
      <c r="B229" t="s">
        <v>92</v>
      </c>
    </row>
    <row r="230" spans="2:2">
      <c r="B230" s="14" t="s">
        <v>93</v>
      </c>
    </row>
    <row r="232" spans="2:2" ht="25.9">
      <c r="B232" s="40" t="s">
        <v>94</v>
      </c>
    </row>
    <row r="233" spans="2:2">
      <c r="B233" s="13"/>
    </row>
    <row r="234" spans="2:2">
      <c r="B234" s="14" t="s">
        <v>95</v>
      </c>
    </row>
    <row r="235" spans="2:2">
      <c r="B235" t="s">
        <v>96</v>
      </c>
    </row>
    <row r="237" spans="2:2" ht="23.45">
      <c r="B237" s="15" t="s">
        <v>30</v>
      </c>
    </row>
    <row r="238" spans="2:2">
      <c r="B238" t="s">
        <v>97</v>
      </c>
    </row>
    <row r="241" spans="1:3" ht="25.9">
      <c r="B241" s="40" t="s">
        <v>98</v>
      </c>
    </row>
    <row r="243" spans="1:3">
      <c r="B243" t="s">
        <v>99</v>
      </c>
    </row>
    <row r="244" spans="1:3">
      <c r="B244" t="s">
        <v>100</v>
      </c>
    </row>
    <row r="245" spans="1:3">
      <c r="B245" s="14" t="s">
        <v>101</v>
      </c>
    </row>
    <row r="246" spans="1:3">
      <c r="B246" s="14" t="s">
        <v>102</v>
      </c>
    </row>
    <row r="248" spans="1:3" ht="23.45">
      <c r="B248" s="15" t="s">
        <v>30</v>
      </c>
    </row>
    <row r="249" spans="1:3">
      <c r="B249" t="s">
        <v>103</v>
      </c>
    </row>
    <row r="252" spans="1:3" ht="25.9">
      <c r="B252" s="40" t="s">
        <v>104</v>
      </c>
    </row>
    <row r="254" spans="1:3">
      <c r="A254" s="21" t="s">
        <v>65</v>
      </c>
      <c r="B254" t="s">
        <v>105</v>
      </c>
    </row>
    <row r="256" spans="1:3">
      <c r="B256" s="22" t="s">
        <v>106</v>
      </c>
      <c r="C256" t="s">
        <v>107</v>
      </c>
    </row>
    <row r="257" spans="2:6">
      <c r="B257" s="22" t="s">
        <v>108</v>
      </c>
    </row>
    <row r="258" spans="2:6">
      <c r="B258" s="22" t="s">
        <v>109</v>
      </c>
    </row>
    <row r="259" spans="2:6">
      <c r="B259" s="22" t="s">
        <v>110</v>
      </c>
    </row>
    <row r="260" spans="2:6">
      <c r="B260" s="23" t="s">
        <v>111</v>
      </c>
    </row>
    <row r="261" spans="2:6">
      <c r="B261" s="23" t="s">
        <v>112</v>
      </c>
    </row>
    <row r="262" spans="2:6">
      <c r="B262" s="23" t="s">
        <v>113</v>
      </c>
      <c r="D262" s="39"/>
      <c r="E262" s="42"/>
      <c r="F262" s="42"/>
    </row>
    <row r="263" spans="2:6">
      <c r="B263" s="23" t="s">
        <v>114</v>
      </c>
      <c r="D263" s="39"/>
      <c r="E263" s="42"/>
      <c r="F263" s="42"/>
    </row>
    <row r="264" spans="2:6">
      <c r="B264" s="23" t="s">
        <v>115</v>
      </c>
      <c r="D264" s="39"/>
      <c r="E264" s="42"/>
      <c r="F264" s="42"/>
    </row>
    <row r="265" spans="2:6">
      <c r="B265" s="23" t="s">
        <v>11</v>
      </c>
      <c r="D265" s="39"/>
      <c r="E265" s="42"/>
      <c r="F265" s="42"/>
    </row>
    <row r="266" spans="2:6">
      <c r="B266" s="24" t="s">
        <v>116</v>
      </c>
      <c r="D266" s="39"/>
      <c r="E266" s="42"/>
      <c r="F266" s="42"/>
    </row>
    <row r="267" spans="2:6">
      <c r="B267" s="25" t="s">
        <v>117</v>
      </c>
      <c r="D267" s="39"/>
      <c r="E267" s="42"/>
      <c r="F267" s="42"/>
    </row>
    <row r="268" spans="2:6">
      <c r="B268" s="25" t="s">
        <v>118</v>
      </c>
      <c r="D268" s="39"/>
      <c r="E268" s="42"/>
      <c r="F268" s="42"/>
    </row>
    <row r="269" spans="2:6">
      <c r="B269" s="25" t="s">
        <v>119</v>
      </c>
      <c r="D269" s="39"/>
      <c r="E269" s="42"/>
      <c r="F269" s="42"/>
    </row>
    <row r="270" spans="2:6">
      <c r="B270" s="25" t="s">
        <v>120</v>
      </c>
      <c r="D270" s="39"/>
      <c r="E270" s="42"/>
      <c r="F270" s="42"/>
    </row>
    <row r="271" spans="2:6">
      <c r="B271" s="26" t="s">
        <v>121</v>
      </c>
      <c r="C271" s="14"/>
    </row>
    <row r="272" spans="2:6">
      <c r="B272" s="27" t="s">
        <v>122</v>
      </c>
    </row>
    <row r="275" spans="1:2" ht="25.9">
      <c r="B275" s="40" t="s">
        <v>123</v>
      </c>
    </row>
    <row r="277" spans="1:2">
      <c r="A277" s="21" t="s">
        <v>65</v>
      </c>
    </row>
    <row r="307" spans="2:6">
      <c r="B307" t="s">
        <v>124</v>
      </c>
    </row>
    <row r="308" spans="2:6">
      <c r="B308" t="s">
        <v>125</v>
      </c>
    </row>
    <row r="309" spans="2:6">
      <c r="B309" s="14" t="s">
        <v>126</v>
      </c>
      <c r="C309" s="14"/>
      <c r="D309" s="14"/>
      <c r="E309" s="14"/>
      <c r="F309" s="14"/>
    </row>
    <row r="312" spans="2:6" ht="25.9">
      <c r="B312" s="40" t="s">
        <v>127</v>
      </c>
    </row>
    <row r="314" spans="2:6">
      <c r="B314" s="14" t="s">
        <v>128</v>
      </c>
    </row>
    <row r="315" spans="2:6">
      <c r="B315" t="s">
        <v>129</v>
      </c>
    </row>
    <row r="324" spans="2:2">
      <c r="B324" t="s">
        <v>130</v>
      </c>
    </row>
    <row r="326" spans="2:2" ht="23.45">
      <c r="B326" s="15" t="s">
        <v>30</v>
      </c>
    </row>
    <row r="327" spans="2:2">
      <c r="B327" t="s">
        <v>131</v>
      </c>
    </row>
    <row r="328" spans="2:2">
      <c r="B328" t="s">
        <v>132</v>
      </c>
    </row>
    <row r="329" spans="2:2">
      <c r="B329" s="14" t="s">
        <v>133</v>
      </c>
    </row>
    <row r="332" spans="2:2" ht="25.9">
      <c r="B332" s="40" t="s">
        <v>134</v>
      </c>
    </row>
    <row r="334" spans="2:2">
      <c r="B334" t="s">
        <v>135</v>
      </c>
    </row>
    <row r="335" spans="2:2">
      <c r="B335" t="s">
        <v>136</v>
      </c>
    </row>
    <row r="336" spans="2:2">
      <c r="B336" t="s">
        <v>137</v>
      </c>
    </row>
    <row r="337" spans="2:2">
      <c r="B337" t="s">
        <v>138</v>
      </c>
    </row>
  </sheetData>
  <mergeCells count="18">
    <mergeCell ref="E268:F268"/>
    <mergeCell ref="E269:F269"/>
    <mergeCell ref="E270:F270"/>
    <mergeCell ref="E263:F263"/>
    <mergeCell ref="E264:F264"/>
    <mergeCell ref="E265:F265"/>
    <mergeCell ref="E266:F266"/>
    <mergeCell ref="E267:F267"/>
    <mergeCell ref="E262:F262"/>
    <mergeCell ref="C111:D111"/>
    <mergeCell ref="C112:D112"/>
    <mergeCell ref="C104:D104"/>
    <mergeCell ref="C105:D105"/>
    <mergeCell ref="C106:D106"/>
    <mergeCell ref="C107:D107"/>
    <mergeCell ref="C108:D108"/>
    <mergeCell ref="C109:D109"/>
    <mergeCell ref="C110:D110"/>
  </mergeCells>
  <pageMargins left="0.7" right="0.7" top="0.75" bottom="0.75" header="0.3" footer="0.3"/>
  <pageSetup paperSize="9" orientation="portrait" r:id="rId1"/>
  <headerFooter>
    <oddFooter>&amp;L_x000D_&amp;1#&amp;"Calibri"&amp;10&amp;K000000 Signe Plus - Diffusion Interne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FACDA-0C1E-482C-A8BC-75609535F7FF}">
  <sheetPr>
    <tabColor theme="5" tint="0.79998168889431442"/>
  </sheetPr>
  <dimension ref="A1"/>
  <sheetViews>
    <sheetView topLeftCell="A10" workbookViewId="0">
      <selection activeCell="L36" sqref="L36"/>
    </sheetView>
  </sheetViews>
  <sheetFormatPr defaultColWidth="11.42578125" defaultRowHeight="14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Anissa ASKRI</dc:creator>
  <cp:keywords/>
  <dc:description/>
  <cp:lastModifiedBy/>
  <cp:revision/>
  <dcterms:created xsi:type="dcterms:W3CDTF">2026-01-26T14:31:06Z</dcterms:created>
  <dcterms:modified xsi:type="dcterms:W3CDTF">2026-01-28T14:09:35Z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334e1ea-5df4-42c5-9e2e-b54926c54386_Enabled">
    <vt:lpwstr>true</vt:lpwstr>
  </property>
  <property fmtid="{D5CDD505-2E9C-101B-9397-08002B2CF9AE}" pid="3" name="MSIP_Label_5334e1ea-5df4-42c5-9e2e-b54926c54386_SetDate">
    <vt:lpwstr>2026-01-26T17:04:55Z</vt:lpwstr>
  </property>
  <property fmtid="{D5CDD505-2E9C-101B-9397-08002B2CF9AE}" pid="4" name="MSIP_Label_5334e1ea-5df4-42c5-9e2e-b54926c54386_Method">
    <vt:lpwstr>Privileged</vt:lpwstr>
  </property>
  <property fmtid="{D5CDD505-2E9C-101B-9397-08002B2CF9AE}" pid="5" name="MSIP_Label_5334e1ea-5df4-42c5-9e2e-b54926c54386_Name">
    <vt:lpwstr>C2-Interne</vt:lpwstr>
  </property>
  <property fmtid="{D5CDD505-2E9C-101B-9397-08002B2CF9AE}" pid="6" name="MSIP_Label_5334e1ea-5df4-42c5-9e2e-b54926c54386_SiteId">
    <vt:lpwstr>d225ce86-6697-4989-ae65-89171a3d8dda</vt:lpwstr>
  </property>
  <property fmtid="{D5CDD505-2E9C-101B-9397-08002B2CF9AE}" pid="7" name="MSIP_Label_5334e1ea-5df4-42c5-9e2e-b54926c54386_ActionId">
    <vt:lpwstr>bf4038f0-2672-4e09-9f2d-94bdfa188a03</vt:lpwstr>
  </property>
  <property fmtid="{D5CDD505-2E9C-101B-9397-08002B2CF9AE}" pid="8" name="MSIP_Label_5334e1ea-5df4-42c5-9e2e-b54926c54386_ContentBits">
    <vt:lpwstr>2</vt:lpwstr>
  </property>
  <property fmtid="{D5CDD505-2E9C-101B-9397-08002B2CF9AE}" pid="9" name="MSIP_Label_5334e1ea-5df4-42c5-9e2e-b54926c54386_Tag">
    <vt:lpwstr>10, 0, 1, 1</vt:lpwstr>
  </property>
</Properties>
</file>