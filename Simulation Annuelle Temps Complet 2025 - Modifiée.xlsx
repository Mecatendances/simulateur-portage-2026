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signeplus-my.sharepoint.com/personal/benoit_breteche_signeplus_com/Documents/Documents/Simulations/2025/"/>
    </mc:Choice>
  </mc:AlternateContent>
  <xr:revisionPtr revIDLastSave="0" documentId="8_{0A543F19-CF38-47DD-9C60-B80ECD1F736E}" xr6:coauthVersionLast="47" xr6:coauthVersionMax="47" xr10:uidLastSave="{00000000-0000-0000-0000-000000000000}"/>
  <bookViews>
    <workbookView xWindow="-28920" yWindow="-4170" windowWidth="29040" windowHeight="15720" xr2:uid="{00000000-000D-0000-FFFF-FFFF00000000}"/>
  </bookViews>
  <sheets>
    <sheet name="a remplir" sheetId="1" r:id="rId1"/>
    <sheet name="calcul" sheetId="3" r:id="rId2"/>
    <sheet name="Note" sheetId="4" r:id="rId3"/>
    <sheet name="IK" sheetId="6" r:id="rId4"/>
    <sheet name="NE PAS TOUCHER"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 l="1"/>
  <c r="H10" i="1"/>
  <c r="Q23" i="1"/>
  <c r="L6" i="1"/>
  <c r="K26" i="1" l="1"/>
  <c r="K29" i="1" s="1"/>
  <c r="G67" i="6"/>
  <c r="G10" i="6" s="1"/>
  <c r="G68" i="6"/>
  <c r="G66" i="6"/>
  <c r="G65" i="6"/>
  <c r="T75" i="1"/>
  <c r="T74" i="1"/>
  <c r="T73" i="1"/>
  <c r="T72" i="1"/>
  <c r="T71" i="1"/>
  <c r="T70" i="1"/>
  <c r="T69" i="1"/>
  <c r="T68" i="1"/>
  <c r="T67" i="1"/>
  <c r="T66" i="1"/>
  <c r="T65" i="1"/>
  <c r="T64" i="1"/>
  <c r="T63" i="1"/>
  <c r="T62" i="1"/>
  <c r="T61" i="1"/>
  <c r="T60" i="1"/>
  <c r="T59" i="1"/>
  <c r="T58" i="1"/>
  <c r="T55" i="1"/>
  <c r="T56" i="1"/>
  <c r="T57" i="1"/>
  <c r="T54" i="1"/>
  <c r="T53" i="1"/>
  <c r="T52" i="1"/>
  <c r="T51" i="1"/>
  <c r="T50" i="1"/>
  <c r="T49" i="1"/>
  <c r="T48" i="1"/>
  <c r="T47" i="1"/>
  <c r="T46" i="1"/>
  <c r="T42" i="1"/>
  <c r="T41" i="1"/>
  <c r="T40" i="1"/>
  <c r="H27" i="1"/>
  <c r="K27" i="1" s="1"/>
  <c r="K30" i="1"/>
  <c r="G25" i="6" l="1"/>
  <c r="G27" i="6"/>
  <c r="G26" i="6"/>
  <c r="G40" i="6"/>
  <c r="G41" i="6"/>
  <c r="G6" i="6"/>
  <c r="G71" i="6" s="1"/>
  <c r="G72" i="6" s="1"/>
  <c r="K6" i="1" s="1"/>
  <c r="G7" i="6"/>
  <c r="G8" i="6"/>
  <c r="G9" i="6"/>
  <c r="G42" i="6"/>
  <c r="G43" i="6"/>
  <c r="G44" i="6"/>
  <c r="G69" i="6"/>
  <c r="K28" i="1"/>
  <c r="H5" i="1"/>
  <c r="H26" i="1" s="1"/>
  <c r="G87" i="3"/>
  <c r="G85" i="3"/>
  <c r="G57" i="3"/>
  <c r="H31" i="1" l="1"/>
  <c r="E18" i="3"/>
  <c r="F18" i="3" s="1"/>
  <c r="G44" i="1" l="1"/>
  <c r="H44" i="1" s="1"/>
  <c r="G45" i="1"/>
  <c r="H45" i="1" s="1"/>
  <c r="G49" i="1"/>
  <c r="H49" i="1" s="1"/>
  <c r="G58" i="1"/>
  <c r="H58" i="1" s="1"/>
  <c r="G66" i="1"/>
  <c r="H66" i="1" s="1"/>
  <c r="G74" i="1"/>
  <c r="H74" i="1" s="1"/>
  <c r="G51" i="1"/>
  <c r="H51" i="1" s="1"/>
  <c r="G68" i="1"/>
  <c r="H68" i="1" s="1"/>
  <c r="G70" i="1"/>
  <c r="H70" i="1" s="1"/>
  <c r="G78" i="1"/>
  <c r="H78" i="1" s="1"/>
  <c r="G65" i="1"/>
  <c r="H65" i="1" s="1"/>
  <c r="G40" i="1"/>
  <c r="H40" i="1" s="1"/>
  <c r="G50" i="1"/>
  <c r="H50" i="1" s="1"/>
  <c r="G59" i="1"/>
  <c r="H59" i="1" s="1"/>
  <c r="G67" i="1"/>
  <c r="H67" i="1" s="1"/>
  <c r="G75" i="1"/>
  <c r="H75" i="1" s="1"/>
  <c r="G60" i="1"/>
  <c r="H60" i="1" s="1"/>
  <c r="G76" i="1"/>
  <c r="H76" i="1" s="1"/>
  <c r="G48" i="1"/>
  <c r="H48" i="1" s="1"/>
  <c r="G41" i="1"/>
  <c r="H41" i="1" s="1"/>
  <c r="G42" i="1"/>
  <c r="H42" i="1" s="1"/>
  <c r="G52" i="1"/>
  <c r="G61" i="1"/>
  <c r="H61" i="1" s="1"/>
  <c r="G69" i="1"/>
  <c r="H69" i="1" s="1"/>
  <c r="G77" i="1"/>
  <c r="H77" i="1" s="1"/>
  <c r="G43" i="1"/>
  <c r="G53" i="1"/>
  <c r="G62" i="1"/>
  <c r="H62" i="1" s="1"/>
  <c r="G72" i="1"/>
  <c r="H72" i="1" s="1"/>
  <c r="G73" i="1"/>
  <c r="H73" i="1" s="1"/>
  <c r="G46" i="1"/>
  <c r="H46" i="1" s="1"/>
  <c r="G54" i="1"/>
  <c r="H54" i="1" s="1"/>
  <c r="G63" i="1"/>
  <c r="H63" i="1" s="1"/>
  <c r="G71" i="1"/>
  <c r="H71" i="1" s="1"/>
  <c r="G47" i="1"/>
  <c r="H47" i="1" s="1"/>
  <c r="G56" i="1"/>
  <c r="H56" i="1" s="1"/>
  <c r="G64" i="1"/>
  <c r="H64" i="1" s="1"/>
  <c r="G57" i="1"/>
  <c r="H57" i="1" s="1"/>
  <c r="G39" i="1"/>
  <c r="H39" i="1" s="1"/>
  <c r="J47" i="1"/>
  <c r="K47" i="1" s="1"/>
  <c r="J55" i="1"/>
  <c r="K55" i="1" s="1"/>
  <c r="J63" i="1"/>
  <c r="K63" i="1" s="1"/>
  <c r="J71" i="1"/>
  <c r="K71" i="1" s="1"/>
  <c r="J50" i="1"/>
  <c r="K50" i="1" s="1"/>
  <c r="J66" i="1"/>
  <c r="K66" i="1" s="1"/>
  <c r="J53" i="1"/>
  <c r="J77" i="1"/>
  <c r="K77" i="1" s="1"/>
  <c r="J54" i="1"/>
  <c r="K54" i="1" s="1"/>
  <c r="J40" i="1"/>
  <c r="J48" i="1"/>
  <c r="K48" i="1" s="1"/>
  <c r="J56" i="1"/>
  <c r="K56" i="1" s="1"/>
  <c r="J64" i="1"/>
  <c r="K64" i="1" s="1"/>
  <c r="J72" i="1"/>
  <c r="K72" i="1" s="1"/>
  <c r="J42" i="1"/>
  <c r="K42" i="1" s="1"/>
  <c r="J74" i="1"/>
  <c r="K74" i="1" s="1"/>
  <c r="J45" i="1"/>
  <c r="K45" i="1" s="1"/>
  <c r="J62" i="1"/>
  <c r="K62" i="1" s="1"/>
  <c r="H55" i="1"/>
  <c r="J41" i="1"/>
  <c r="K41" i="1" s="1"/>
  <c r="J49" i="1"/>
  <c r="K49" i="1" s="1"/>
  <c r="J57" i="1"/>
  <c r="K57" i="1" s="1"/>
  <c r="J65" i="1"/>
  <c r="K65" i="1" s="1"/>
  <c r="J73" i="1"/>
  <c r="K73" i="1" s="1"/>
  <c r="J58" i="1"/>
  <c r="K58" i="1" s="1"/>
  <c r="J61" i="1"/>
  <c r="K61" i="1" s="1"/>
  <c r="J46" i="1"/>
  <c r="K46" i="1" s="1"/>
  <c r="J78" i="1"/>
  <c r="K78" i="1" s="1"/>
  <c r="J43" i="1"/>
  <c r="K43" i="1" s="1"/>
  <c r="J51" i="1"/>
  <c r="K51" i="1" s="1"/>
  <c r="J59" i="1"/>
  <c r="K59" i="1" s="1"/>
  <c r="J67" i="1"/>
  <c r="K67" i="1" s="1"/>
  <c r="J75" i="1"/>
  <c r="K75" i="1" s="1"/>
  <c r="J44" i="1"/>
  <c r="K44" i="1" s="1"/>
  <c r="J52" i="1"/>
  <c r="J60" i="1"/>
  <c r="K60" i="1" s="1"/>
  <c r="J68" i="1"/>
  <c r="K68" i="1" s="1"/>
  <c r="J76" i="1"/>
  <c r="K76" i="1" s="1"/>
  <c r="J69" i="1"/>
  <c r="K69" i="1" s="1"/>
  <c r="J70" i="1"/>
  <c r="K70" i="1" s="1"/>
  <c r="J39" i="1"/>
  <c r="K39" i="1" s="1"/>
  <c r="H25" i="1"/>
  <c r="O89" i="3"/>
  <c r="O90" i="3"/>
  <c r="O85" i="3"/>
  <c r="O86" i="3"/>
  <c r="O87" i="3"/>
  <c r="O88"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54" i="3"/>
  <c r="O53" i="3"/>
  <c r="F19" i="3" l="1"/>
  <c r="F37" i="3"/>
  <c r="G37" i="3" s="1"/>
  <c r="H43" i="1"/>
  <c r="G81" i="3" l="1"/>
  <c r="K31" i="1" l="1"/>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53" i="3"/>
  <c r="K25" i="1" l="1"/>
  <c r="Q69" i="3"/>
  <c r="P69" i="3"/>
  <c r="Q55" i="3"/>
  <c r="P55" i="3"/>
  <c r="K40" i="1"/>
  <c r="Q54" i="3" s="1"/>
  <c r="P54" i="3"/>
  <c r="K32" i="1" l="1"/>
  <c r="N36" i="1" s="1"/>
  <c r="Q53" i="3"/>
  <c r="P53" i="3"/>
  <c r="L32" i="1" l="1"/>
  <c r="K5" i="3"/>
  <c r="G53" i="3" l="1"/>
  <c r="G35" i="3"/>
  <c r="G51" i="3"/>
  <c r="M5" i="3" l="1"/>
  <c r="G33" i="3" l="1"/>
  <c r="H30" i="1" l="1"/>
  <c r="F13" i="3" s="1"/>
  <c r="K52" i="1" l="1"/>
  <c r="Q66" i="3" s="1"/>
  <c r="H52" i="1"/>
  <c r="P66" i="3" s="1"/>
  <c r="K53" i="1"/>
  <c r="Q67" i="3" s="1"/>
  <c r="Q57" i="3"/>
  <c r="Q58" i="3"/>
  <c r="Q59" i="3"/>
  <c r="Q60" i="3"/>
  <c r="Q61" i="3"/>
  <c r="Q62" i="3"/>
  <c r="Q63" i="3"/>
  <c r="Q64" i="3"/>
  <c r="Q65" i="3"/>
  <c r="Q68" i="3"/>
  <c r="Q70" i="3"/>
  <c r="Q71" i="3"/>
  <c r="Q72" i="3"/>
  <c r="Q73" i="3"/>
  <c r="Q74" i="3"/>
  <c r="Q75" i="3"/>
  <c r="Q76" i="3"/>
  <c r="Q77" i="3"/>
  <c r="Q78" i="3"/>
  <c r="Q79" i="3"/>
  <c r="Q80" i="3"/>
  <c r="Q81" i="3"/>
  <c r="Q82" i="3"/>
  <c r="Q83" i="3"/>
  <c r="Q84" i="3"/>
  <c r="Q85" i="3"/>
  <c r="Q86" i="3"/>
  <c r="Q87" i="3"/>
  <c r="Q88" i="3"/>
  <c r="Q89" i="3"/>
  <c r="Q90" i="3"/>
  <c r="P61" i="3"/>
  <c r="P57" i="3"/>
  <c r="P58" i="3"/>
  <c r="P59" i="3"/>
  <c r="P60" i="3"/>
  <c r="P62" i="3"/>
  <c r="P63" i="3"/>
  <c r="P64" i="3"/>
  <c r="P65" i="3"/>
  <c r="H53" i="1"/>
  <c r="P67" i="3" s="1"/>
  <c r="P68" i="3"/>
  <c r="P70" i="3"/>
  <c r="P71" i="3"/>
  <c r="P72" i="3"/>
  <c r="P73" i="3"/>
  <c r="P74" i="3"/>
  <c r="P75" i="3"/>
  <c r="P76" i="3"/>
  <c r="P77" i="3"/>
  <c r="P78" i="3"/>
  <c r="P79" i="3"/>
  <c r="P80" i="3"/>
  <c r="P81" i="3"/>
  <c r="P82" i="3"/>
  <c r="P83" i="3"/>
  <c r="P84" i="3"/>
  <c r="P85" i="3"/>
  <c r="P86" i="3"/>
  <c r="P87" i="3"/>
  <c r="P88" i="3"/>
  <c r="P89" i="3"/>
  <c r="P90" i="3"/>
  <c r="Q56" i="3"/>
  <c r="P56" i="3"/>
  <c r="H28" i="1" l="1"/>
  <c r="F10" i="3" l="1"/>
  <c r="M14" i="3" l="1"/>
  <c r="E20" i="3" l="1"/>
  <c r="F20" i="3" l="1"/>
  <c r="E19" i="3" l="1"/>
  <c r="F5" i="3"/>
  <c r="F4" i="3"/>
  <c r="C1" i="3"/>
  <c r="F29" i="1"/>
  <c r="H29" i="1" s="1"/>
  <c r="H32" i="1" s="1"/>
  <c r="O38" i="1" s="1"/>
  <c r="E44" i="3" s="1"/>
  <c r="K14" i="3"/>
  <c r="E12" i="3"/>
  <c r="N38" i="1" l="1"/>
  <c r="I32" i="1"/>
  <c r="E21" i="3"/>
  <c r="E22" i="3" s="1"/>
  <c r="F55" i="3" l="1"/>
  <c r="G55" i="3" s="1"/>
  <c r="B6" i="3"/>
  <c r="I5" i="3"/>
  <c r="I14" i="3" s="1"/>
  <c r="F83" i="3" l="1"/>
  <c r="G83" i="3" s="1"/>
  <c r="F8" i="3"/>
  <c r="J5" i="3"/>
  <c r="C2" i="3"/>
  <c r="B2" i="3"/>
  <c r="D81" i="3" l="1"/>
  <c r="F17" i="3"/>
  <c r="J14" i="3"/>
  <c r="L14" i="3" s="1"/>
  <c r="F14" i="3" s="1"/>
  <c r="F9" i="3"/>
  <c r="F12" i="3" l="1"/>
  <c r="F11" i="3"/>
  <c r="F39" i="3"/>
  <c r="G39" i="3" s="1"/>
  <c r="F21" i="3"/>
  <c r="F22" i="3" s="1"/>
  <c r="D73" i="3" l="1"/>
  <c r="D74" i="3" s="1"/>
  <c r="D75" i="3" s="1"/>
  <c r="F15" i="3"/>
  <c r="F46" i="3"/>
  <c r="G46" i="3" s="1"/>
  <c r="F92" i="3"/>
  <c r="G92" i="3" s="1"/>
  <c r="F64" i="3"/>
  <c r="G64" i="3" s="1"/>
  <c r="H15" i="3" l="1"/>
  <c r="I23" i="3"/>
  <c r="E26" i="3" s="1"/>
  <c r="E27" i="3" l="1"/>
  <c r="C29" i="3" l="1"/>
  <c r="F40" i="3" s="1"/>
  <c r="G40" i="3" s="1"/>
  <c r="C30" i="3"/>
  <c r="F38" i="3" s="1"/>
  <c r="G38" i="3" l="1"/>
  <c r="F58" i="3"/>
  <c r="G58" i="3" s="1"/>
  <c r="I30" i="3"/>
  <c r="C31" i="3"/>
  <c r="F86" i="3" l="1"/>
  <c r="G86" i="3" s="1"/>
  <c r="F56" i="3"/>
  <c r="G56" i="3" s="1"/>
  <c r="L30" i="3"/>
  <c r="F41" i="3"/>
  <c r="J30" i="3"/>
  <c r="G41" i="3" l="1"/>
  <c r="F42" i="3"/>
  <c r="F23" i="3"/>
  <c r="E23" i="3" s="1"/>
  <c r="F84" i="3"/>
  <c r="G84" i="3" s="1"/>
  <c r="F59" i="3"/>
  <c r="G59" i="3" s="1"/>
  <c r="H44" i="3" l="1"/>
  <c r="H48" i="3" s="1"/>
  <c r="F44" i="3"/>
  <c r="G44" i="3" s="1"/>
  <c r="G42" i="3"/>
  <c r="F24" i="3"/>
  <c r="E24" i="3" s="1"/>
  <c r="F88" i="3"/>
  <c r="G88" i="3"/>
  <c r="D102" i="3"/>
  <c r="D103" i="3" s="1"/>
  <c r="F60" i="3"/>
  <c r="G60" i="3" l="1"/>
  <c r="F48" i="3"/>
  <c r="F49" i="3" s="1"/>
  <c r="L85" i="3"/>
  <c r="L87" i="3" s="1"/>
  <c r="L58" i="3"/>
  <c r="G49" i="3" l="1"/>
  <c r="G48" i="3"/>
  <c r="L88" i="3"/>
  <c r="H90" i="3" s="1"/>
  <c r="H94" i="3" s="1"/>
  <c r="E90" i="3"/>
  <c r="F90" i="3" s="1"/>
  <c r="L61" i="3"/>
  <c r="L60" i="3"/>
  <c r="E62" i="3" s="1"/>
  <c r="F62" i="3" s="1"/>
  <c r="G62" i="3" l="1"/>
  <c r="F66" i="3"/>
  <c r="F67" i="3" s="1"/>
  <c r="G90" i="3"/>
  <c r="F94" i="3"/>
  <c r="D76" i="3"/>
  <c r="D77" i="3" s="1"/>
  <c r="D97" i="3" s="1"/>
  <c r="G97" i="3" s="1"/>
  <c r="H62" i="3"/>
  <c r="H66" i="3" s="1"/>
  <c r="H49" i="3"/>
  <c r="D104" i="3"/>
  <c r="D105" i="3" s="1"/>
  <c r="F95" i="3" l="1"/>
  <c r="G95" i="3" s="1"/>
  <c r="G94" i="3"/>
  <c r="G66" i="3"/>
  <c r="G67" i="3"/>
  <c r="K70" i="3" s="1"/>
  <c r="D98" i="3"/>
  <c r="G98" i="3" s="1"/>
  <c r="F69" i="3"/>
  <c r="G69" i="3" s="1"/>
  <c r="H95" i="3" l="1"/>
  <c r="H6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Patricia Tribillac</author>
    <author>Magalie Douarche</author>
  </authors>
  <commentList>
    <comment ref="J6" authorId="0" shapeId="0" xr:uid="{00000000-0006-0000-0000-000001000000}">
      <text>
        <r>
          <rPr>
            <sz val="9"/>
            <color indexed="81"/>
            <rFont val="Tahoma"/>
            <family val="2"/>
          </rPr>
          <t xml:space="preserve">mettre la valeur du forfait pour une journée
- 13,40 ou 9 (ou moins)
  </t>
        </r>
      </text>
    </comment>
    <comment ref="K6" authorId="0" shapeId="0" xr:uid="{00000000-0006-0000-0000-000002000000}">
      <text>
        <r>
          <rPr>
            <sz val="9"/>
            <color indexed="81"/>
            <rFont val="Tahoma"/>
            <family val="2"/>
          </rPr>
          <t xml:space="preserve">mettre la valeur de l'indemnité pour une journée:
nombre km x barème fiscal (ou moins)
</t>
        </r>
      </text>
    </comment>
    <comment ref="L6" authorId="0" shapeId="0" xr:uid="{00000000-0006-0000-0000-000003000000}">
      <text>
        <r>
          <rPr>
            <sz val="9"/>
            <color indexed="81"/>
            <rFont val="Tahoma"/>
            <family val="2"/>
          </rPr>
          <t xml:space="preserve">rajouter tout les frais supplémentaires à rembourser au salarié
pour le mois. (pas de calcul par rapport au nb de jour
</t>
        </r>
      </text>
    </comment>
    <comment ref="E10" authorId="0" shapeId="0" xr:uid="{00000000-0006-0000-0000-000004000000}">
      <text>
        <r>
          <rPr>
            <sz val="9"/>
            <color indexed="81"/>
            <rFont val="Tahoma"/>
            <family val="2"/>
          </rPr>
          <t xml:space="preserve">mettre oui si le salarié prend les TR
  </t>
        </r>
      </text>
    </comment>
    <comment ref="E15" authorId="0" shapeId="0" xr:uid="{42EF2080-F24F-46CE-8C55-EB69F4E810F3}">
      <text>
        <r>
          <rPr>
            <sz val="9"/>
            <color indexed="81"/>
            <rFont val="Tahoma"/>
            <family val="2"/>
          </rPr>
          <t xml:space="preserve">mettre oui si le salarié prend la mutuelle
  </t>
        </r>
      </text>
    </comment>
    <comment ref="F37" authorId="1" shapeId="0" xr:uid="{E6D4D9D6-79D2-481C-BDDA-C2A9F682D6A3}">
      <text>
        <r>
          <rPr>
            <b/>
            <sz val="9"/>
            <color indexed="81"/>
            <rFont val="Tahoma"/>
            <family val="2"/>
          </rPr>
          <t>Magalie Douarche:</t>
        </r>
        <r>
          <rPr>
            <sz val="9"/>
            <color indexed="81"/>
            <rFont val="Tahoma"/>
            <family val="2"/>
          </rPr>
          <t xml:space="preserve">
A saisir en fonction des simul BS. </t>
        </r>
      </text>
    </comment>
    <comment ref="I37" authorId="1" shapeId="0" xr:uid="{EDA2B8FE-6498-487E-8185-D9419D56935B}">
      <text>
        <r>
          <rPr>
            <b/>
            <sz val="9"/>
            <color indexed="81"/>
            <rFont val="Tahoma"/>
            <family val="2"/>
          </rPr>
          <t>Magalie Douarche:</t>
        </r>
        <r>
          <rPr>
            <sz val="9"/>
            <color indexed="81"/>
            <rFont val="Tahoma"/>
            <family val="2"/>
          </rPr>
          <t xml:space="preserve">
A saisir en fonction des simul BS. </t>
        </r>
      </text>
    </comment>
  </commentList>
</comments>
</file>

<file path=xl/sharedStrings.xml><?xml version="1.0" encoding="utf-8"?>
<sst xmlns="http://schemas.openxmlformats.org/spreadsheetml/2006/main" count="257" uniqueCount="185">
  <si>
    <t>nom</t>
  </si>
  <si>
    <t>Consultant Christian</t>
  </si>
  <si>
    <t>Abonnement Transport en commun / mois</t>
  </si>
  <si>
    <t>Montant Internet par mois</t>
  </si>
  <si>
    <t>mois</t>
  </si>
  <si>
    <t>Montant Téléphone Par mois</t>
  </si>
  <si>
    <t>Autres / mois</t>
  </si>
  <si>
    <t>Nombre de jours travaillés facturés</t>
  </si>
  <si>
    <t>forfait repas (à la journée)</t>
  </si>
  <si>
    <t>ind km (à la journée)</t>
  </si>
  <si>
    <t>autres frais annuels</t>
  </si>
  <si>
    <t>frais refacturés aux clients annuel</t>
  </si>
  <si>
    <t>Nombre de jours ouvrés dans le mois</t>
  </si>
  <si>
    <t>montant</t>
  </si>
  <si>
    <t>Nombre de jours par semaine</t>
  </si>
  <si>
    <t>salaire de base</t>
  </si>
  <si>
    <t>Simu mensuelle nombre de jours par mois</t>
  </si>
  <si>
    <t>Ticket Restaurant Annuel</t>
  </si>
  <si>
    <t>non</t>
  </si>
  <si>
    <t>Ticket Restaurant Mensuel</t>
  </si>
  <si>
    <t>Valeur Faciale TR</t>
  </si>
  <si>
    <t>Prise en charge employeur</t>
  </si>
  <si>
    <t>Mutuelle</t>
  </si>
  <si>
    <t>oui</t>
  </si>
  <si>
    <t>PMSS</t>
  </si>
  <si>
    <t>Tx mutuelle part salariale</t>
  </si>
  <si>
    <t>Tx mutuelle part patronale</t>
  </si>
  <si>
    <t>TJM</t>
  </si>
  <si>
    <t>-Frais de gestion</t>
  </si>
  <si>
    <t>Type de Véhicule</t>
  </si>
  <si>
    <t>Voiture Thermique</t>
  </si>
  <si>
    <t>-Frais d intermediation</t>
  </si>
  <si>
    <t>montant par  jour</t>
  </si>
  <si>
    <t>Puissance FISCALE</t>
  </si>
  <si>
    <t>ANNUEL</t>
  </si>
  <si>
    <t>MOIS</t>
  </si>
  <si>
    <t>Distance par jour Aller-retour en KM</t>
  </si>
  <si>
    <t>Nombre de déplacements par semaine</t>
  </si>
  <si>
    <t>Total mensuel</t>
  </si>
  <si>
    <t>-Frais refacturés aux clients</t>
  </si>
  <si>
    <t>total</t>
  </si>
  <si>
    <t>- Frais de fonctionnement</t>
  </si>
  <si>
    <t>Montant disponible</t>
  </si>
  <si>
    <t>grille des taux charges patronales en fonction du montant disponible</t>
  </si>
  <si>
    <t>MAJ au 13/03/25 avec AF et maladie modifié (smic 31/12/2023)</t>
  </si>
  <si>
    <t xml:space="preserve">Montant disponible : </t>
  </si>
  <si>
    <t>MT DISPONIBLE</t>
  </si>
  <si>
    <t>montant disponible</t>
  </si>
  <si>
    <t>brut MAJ</t>
  </si>
  <si>
    <t>Mtt ch pat Simul MAJ</t>
  </si>
  <si>
    <t xml:space="preserve">charges patronales </t>
  </si>
  <si>
    <t xml:space="preserve">taux charges patronales </t>
  </si>
  <si>
    <t>Salaire net Simul MAJ</t>
  </si>
  <si>
    <t>salaire net</t>
  </si>
  <si>
    <t xml:space="preserve">taux charges salariales </t>
  </si>
  <si>
    <t>Patronal</t>
  </si>
  <si>
    <t>Salarial</t>
  </si>
  <si>
    <t xml:space="preserve">Taux de charge calculé : </t>
  </si>
  <si>
    <t>&lt; 2,25 smic</t>
  </si>
  <si>
    <t>Majoration du taux patronal maladie de 6% à partir de 3931,29 brut</t>
  </si>
  <si>
    <t>&gt;2,25smic (6% mal)</t>
  </si>
  <si>
    <t>&lt; 3,3 smic</t>
  </si>
  <si>
    <t>Majoration du taux patronal d'allocation familiale de 1,80% à partir de 5765,89 brut</t>
  </si>
  <si>
    <t>&gt;3,3smic (1,8%AF)</t>
  </si>
  <si>
    <t>Nombre de jours travaillés</t>
  </si>
  <si>
    <t>repas</t>
  </si>
  <si>
    <t>km</t>
  </si>
  <si>
    <t>autres frais</t>
  </si>
  <si>
    <t>frais refacturés aux clients</t>
  </si>
  <si>
    <t>Nombre de jours potentiel dans le mois</t>
  </si>
  <si>
    <t>Selon BS de simulation :</t>
  </si>
  <si>
    <t>base mois entier</t>
  </si>
  <si>
    <t>Salaire de base :</t>
  </si>
  <si>
    <t>Prime d'apport d'affaires</t>
  </si>
  <si>
    <t>Réserve financière (10%)</t>
  </si>
  <si>
    <t>CP (10 %)</t>
  </si>
  <si>
    <t>TOTAL BRUT</t>
  </si>
  <si>
    <t>taux</t>
  </si>
  <si>
    <t>+ charges patronales</t>
  </si>
  <si>
    <t xml:space="preserve">= cout global </t>
  </si>
  <si>
    <t xml:space="preserve">Brut = </t>
  </si>
  <si>
    <t>Complément de rémunération =</t>
  </si>
  <si>
    <t>Décomposé en :</t>
  </si>
  <si>
    <t>Complément de rémunération</t>
  </si>
  <si>
    <t>TOTAL RAJOUT</t>
  </si>
  <si>
    <t>rajout ind cp</t>
  </si>
  <si>
    <t>Complément de prime d'apport d'affaires</t>
  </si>
  <si>
    <t>Complément d'indemnité CP</t>
  </si>
  <si>
    <t xml:space="preserve">Simulation bulletin avec réserve et indemnités cp payés </t>
  </si>
  <si>
    <t xml:space="preserve">estimation annuelle (jours facturés) :
</t>
  </si>
  <si>
    <t xml:space="preserve">estimation mensuelle 
(jours facturés) :
</t>
  </si>
  <si>
    <t>charges patronales :</t>
  </si>
  <si>
    <t xml:space="preserve">Salaire de base </t>
  </si>
  <si>
    <t xml:space="preserve">Complément de rémunération </t>
  </si>
  <si>
    <t>Indemnité congés payés</t>
  </si>
  <si>
    <t>brut</t>
  </si>
  <si>
    <t>charges salariales :</t>
  </si>
  <si>
    <t>taux :</t>
  </si>
  <si>
    <t>frais :</t>
  </si>
  <si>
    <t>coût global annuel :</t>
  </si>
  <si>
    <r>
      <rPr>
        <sz val="11"/>
        <color rgb="FF000000"/>
        <rFont val="Calibri"/>
        <family val="2"/>
      </rPr>
      <t xml:space="preserve">                  net à payer </t>
    </r>
    <r>
      <rPr>
        <u/>
        <sz val="11"/>
        <color rgb="FF000000"/>
        <rFont val="Calibri"/>
        <family val="2"/>
      </rPr>
      <t>avant impôt</t>
    </r>
  </si>
  <si>
    <t>Net à payer sur le Bulletin</t>
  </si>
  <si>
    <r>
      <t xml:space="preserve">net à payer </t>
    </r>
    <r>
      <rPr>
        <u/>
        <sz val="11"/>
        <color rgb="FF000000"/>
        <rFont val="Calibri"/>
        <family val="2"/>
      </rPr>
      <t>avant impôt avec Ticket Restaurant (</t>
    </r>
    <r>
      <rPr>
        <sz val="11"/>
        <color rgb="FF000000"/>
        <rFont val="Calibri"/>
        <family val="2"/>
      </rPr>
      <t>14,36€ l'unité)</t>
    </r>
  </si>
  <si>
    <t>Salaire net perçu par le salarié avec la valeur des Tickets restaurants</t>
  </si>
  <si>
    <t xml:space="preserve">Simulation avec réserve provisionnée et indemnités cp payés </t>
  </si>
  <si>
    <t>taux charges patronales</t>
  </si>
  <si>
    <t>taux charges salariales</t>
  </si>
  <si>
    <t>avec mutuelle</t>
  </si>
  <si>
    <t xml:space="preserve"> </t>
  </si>
  <si>
    <t xml:space="preserve">coût global annuel : </t>
  </si>
  <si>
    <t>net à payer avant impôt avec Ticket Resto 14,36€ l'unité</t>
  </si>
  <si>
    <t>montant mis en réserve</t>
  </si>
  <si>
    <t xml:space="preserve">Détail et contrôle: </t>
  </si>
  <si>
    <t>reserve</t>
  </si>
  <si>
    <t>ind cp réserve</t>
  </si>
  <si>
    <t>charges patronales</t>
  </si>
  <si>
    <t>simulation bulletin sans reserve sans congé</t>
  </si>
  <si>
    <t>charges pat</t>
  </si>
  <si>
    <t xml:space="preserve">complément de rémunération </t>
  </si>
  <si>
    <t>ind cp</t>
  </si>
  <si>
    <t>charges salariales</t>
  </si>
  <si>
    <t>frais</t>
  </si>
  <si>
    <t>coût global</t>
  </si>
  <si>
    <t xml:space="preserve">net à payer </t>
  </si>
  <si>
    <t>net à payer  avec TR 14,36€ l'unité</t>
  </si>
  <si>
    <t>Montant cp chargé np</t>
  </si>
  <si>
    <t>dans l'onglet calcul, 3 simulations sont faites</t>
  </si>
  <si>
    <t>simulation bulletin avec reserve et cp payé mensuellement</t>
  </si>
  <si>
    <t>le salarié perçoit la reserve et les cp tous les mois</t>
  </si>
  <si>
    <t>simulation bulletin sans reserve et cp payé mensuellement</t>
  </si>
  <si>
    <t xml:space="preserve">la réserve n'est pas versée au salarié, (le montant de la réserve mis sur le compte activité est égal à la réserve + 10% au titre des cp + charges patronales </t>
  </si>
  <si>
    <t>la réserve et les cp ne sont pas versés tous les mois,</t>
  </si>
  <si>
    <t xml:space="preserve">le montant de la réserve mis sur le compte activité est égal à la réserve + 10% au titre des cp + charges patronales </t>
  </si>
  <si>
    <t>le montant des cp est égal à 10% du salaire (or réserve) + charges patronales, Ils seront versés au salarié à chaque prise de cp (sans anticipation) il s'agit des cp N-1</t>
  </si>
  <si>
    <t>temps incomplet</t>
  </si>
  <si>
    <t xml:space="preserve">Il est appliqué sur  les salaires bruts supérieurs à 3,5 fois le smic  (5388,03 pour un temps plein) une majoration de 1,8% de charges patronales </t>
  </si>
  <si>
    <t xml:space="preserve">Lorsque le salaire est au dessus de 5388,09 brut (ou 7876,57 montant disponible) ce taux est appliqué automatiquement. </t>
  </si>
  <si>
    <t>Par contre si le mois n'est pas complet et si le salaire passe en dessous des 5388,03 (ou 7779,56montant disponible) du fait de la proratsation de l'absence, il faut rajouter 1,8% au taux de charges patronales</t>
  </si>
  <si>
    <t>Barème voiture thermique</t>
  </si>
  <si>
    <t>Voiture THERMIQUE</t>
  </si>
  <si>
    <t>CV</t>
  </si>
  <si>
    <t>De 0 à 5 000 Kms</t>
  </si>
  <si>
    <t>De 5 001 à 20 000 Kms</t>
  </si>
  <si>
    <t>Plus de 20 000 Kms</t>
  </si>
  <si>
    <t>(0,316 x km) + 1 065</t>
  </si>
  <si>
    <t>0,37 x km</t>
  </si>
  <si>
    <t>(0,340 x km) + 1 330</t>
  </si>
  <si>
    <t>0,407 x km</t>
  </si>
  <si>
    <t>(0,357 x km) + 1 395</t>
  </si>
  <si>
    <t>0,427 x km</t>
  </si>
  <si>
    <t>(0,374 x km) + 1 457</t>
  </si>
  <si>
    <t>0,447 x km</t>
  </si>
  <si>
    <t>7 et plus</t>
  </si>
  <si>
    <t>(0,394 x km) + 1 515</t>
  </si>
  <si>
    <t>0,470 x km</t>
  </si>
  <si>
    <t>Barème DEUX ROUES</t>
  </si>
  <si>
    <t>DEUX-ROUES</t>
  </si>
  <si>
    <t>De 0 à 3 000 Kms</t>
  </si>
  <si>
    <t>De 3 001 à 6 000 Kms</t>
  </si>
  <si>
    <t>Plus de 6 000 Kms</t>
  </si>
  <si>
    <t>1 ou 2</t>
  </si>
  <si>
    <t>(0,099 x km) + 891</t>
  </si>
  <si>
    <t>0,248 x km</t>
  </si>
  <si>
    <t>3,4 ou 5</t>
  </si>
  <si>
    <t>(0,082 x km) + 1 158</t>
  </si>
  <si>
    <t>0,275 x km</t>
  </si>
  <si>
    <t>5 et plus</t>
  </si>
  <si>
    <t>(0,079x km) + 1 583</t>
  </si>
  <si>
    <t>0,343 x km</t>
  </si>
  <si>
    <t xml:space="preserve">VOITURE ELECTRIQUE </t>
  </si>
  <si>
    <t>(0,380 x km) + 1 278</t>
  </si>
  <si>
    <t>0,444 x km</t>
  </si>
  <si>
    <t>(0,408 x km) + 1 596</t>
  </si>
  <si>
    <t>0,488 x km</t>
  </si>
  <si>
    <t>(0,428 x km) + 1 674</t>
  </si>
  <si>
    <t>0,512 x km</t>
  </si>
  <si>
    <t>(0,449 x km) + 1 748</t>
  </si>
  <si>
    <t>0,536 x km</t>
  </si>
  <si>
    <t>(0,472 x km) + 1 818</t>
  </si>
  <si>
    <t>0,564 x km</t>
  </si>
  <si>
    <t>Voiture électrique</t>
  </si>
  <si>
    <t>Deux-Roues</t>
  </si>
  <si>
    <t>Distance Total Annuelle</t>
  </si>
  <si>
    <t>Indemnités Kilométriques Journalière</t>
  </si>
  <si>
    <t>IK Finale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</si>
</sst>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_-* #,##0.00\ _€_-;\-* #,##0.00\ _€_-;_-* &quot;-&quot;??\ _€_-;_-@_-"/>
    <numFmt numFmtId="165" formatCode="_-* #,##0.00\ [$€-40C]_-;\-* #,##0.00\ [$€-40C]_-;_-* &quot;-&quot;??\ [$€-40C]_-;_-@_-"/>
    <numFmt numFmtId="166" formatCode="0.0000"/>
  </numFmts>
  <fonts count="22">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u/>
      <sz val="11"/>
      <color theme="1"/>
      <name val="Calibri"/>
      <family val="2"/>
      <scheme val="minor"/>
    </font>
    <font>
      <sz val="9"/>
      <color indexed="81"/>
      <name val="Tahoma"/>
      <family val="2"/>
    </font>
    <font>
      <b/>
      <u/>
      <sz val="11"/>
      <color rgb="FFFF7C80"/>
      <name val="Calibri"/>
      <family val="2"/>
      <scheme val="minor"/>
    </font>
    <font>
      <sz val="9"/>
      <color theme="1"/>
      <name val="Calibri"/>
      <family val="2"/>
      <scheme val="minor"/>
    </font>
    <font>
      <sz val="8"/>
      <color theme="1"/>
      <name val="Calibri"/>
      <family val="2"/>
      <scheme val="minor"/>
    </font>
    <font>
      <b/>
      <sz val="28"/>
      <color rgb="FFFF5050"/>
      <name val="Calibri"/>
      <family val="2"/>
      <scheme val="minor"/>
    </font>
    <font>
      <b/>
      <u/>
      <sz val="11"/>
      <color rgb="FFFF5050"/>
      <name val="Calibri"/>
      <family val="2"/>
      <scheme val="minor"/>
    </font>
    <font>
      <b/>
      <sz val="11"/>
      <color rgb="FFFF5050"/>
      <name val="Calibri"/>
      <family val="2"/>
      <scheme val="minor"/>
    </font>
    <font>
      <sz val="11"/>
      <color rgb="FFFF5050"/>
      <name val="Calibri"/>
      <family val="2"/>
      <scheme val="minor"/>
    </font>
    <font>
      <sz val="11"/>
      <color rgb="FF1F497D"/>
      <name val="Calibri"/>
      <family val="2"/>
      <scheme val="minor"/>
    </font>
    <font>
      <sz val="11"/>
      <color rgb="FF000000"/>
      <name val="Calibri"/>
      <family val="2"/>
    </font>
    <font>
      <u/>
      <sz val="11"/>
      <color rgb="FF000000"/>
      <name val="Calibri"/>
      <family val="2"/>
    </font>
    <font>
      <sz val="11"/>
      <color theme="0"/>
      <name val="Calibri"/>
      <family val="2"/>
      <scheme val="minor"/>
    </font>
    <font>
      <sz val="11"/>
      <name val="Calibri"/>
      <family val="2"/>
      <scheme val="minor"/>
    </font>
    <font>
      <b/>
      <sz val="9"/>
      <color theme="1"/>
      <name val="Calibri"/>
      <family val="2"/>
      <scheme val="minor"/>
    </font>
    <font>
      <b/>
      <sz val="9"/>
      <color indexed="81"/>
      <name val="Tahoma"/>
      <family val="2"/>
    </font>
    <font>
      <b/>
      <sz val="14"/>
      <color theme="1"/>
      <name val="Calibri"/>
      <family val="2"/>
      <scheme val="minor"/>
    </font>
    <font>
      <sz val="9.6"/>
      <color rgb="FF222222"/>
      <name val="Arial"/>
      <family val="2"/>
    </font>
  </fonts>
  <fills count="19">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6"/>
        <bgColor indexed="64"/>
      </patternFill>
    </fill>
    <fill>
      <patternFill patternType="solid">
        <fgColor rgb="FF92D050"/>
        <bgColor indexed="64"/>
      </patternFill>
    </fill>
    <fill>
      <patternFill patternType="solid">
        <fgColor rgb="FFFFC000"/>
        <bgColor indexed="64"/>
      </patternFill>
    </fill>
    <fill>
      <patternFill patternType="solid">
        <fgColor rgb="FF00FFFF"/>
        <bgColor indexed="64"/>
      </patternFill>
    </fill>
    <fill>
      <patternFill patternType="solid">
        <fgColor rgb="FFFF7C80"/>
        <bgColor indexed="64"/>
      </patternFill>
    </fill>
    <fill>
      <patternFill patternType="solid">
        <fgColor rgb="FFFF66FF"/>
        <bgColor indexed="64"/>
      </patternFill>
    </fill>
    <fill>
      <patternFill patternType="solid">
        <fgColor rgb="FFFF5050"/>
        <bgColor indexed="64"/>
      </patternFill>
    </fill>
    <fill>
      <patternFill patternType="solid">
        <fgColor rgb="FF27E4FD"/>
        <bgColor indexed="64"/>
      </patternFill>
    </fill>
    <fill>
      <patternFill patternType="solid">
        <fgColor rgb="FFFFFFFF"/>
        <bgColor indexed="64"/>
      </patternFill>
    </fill>
    <fill>
      <patternFill patternType="solid">
        <fgColor rgb="FF00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4DB3A2"/>
        <bgColor indexed="64"/>
      </patternFill>
    </fill>
    <fill>
      <patternFill patternType="solid">
        <fgColor rgb="FFF9F9F9"/>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indexed="64"/>
      </right>
      <top style="medium">
        <color rgb="FF000000"/>
      </top>
      <bottom/>
      <diagonal/>
    </border>
    <border>
      <left style="medium">
        <color indexed="64"/>
      </left>
      <right style="medium">
        <color rgb="FF000000"/>
      </right>
      <top style="medium">
        <color rgb="FF000000"/>
      </top>
      <bottom/>
      <diagonal/>
    </border>
    <border>
      <left style="medium">
        <color rgb="FF000000"/>
      </left>
      <right/>
      <top/>
      <bottom/>
      <diagonal/>
    </border>
    <border>
      <left style="medium">
        <color indexed="64"/>
      </left>
      <right style="medium">
        <color rgb="FF000000"/>
      </right>
      <top/>
      <bottom/>
      <diagonal/>
    </border>
    <border>
      <left style="medium">
        <color rgb="FF000000"/>
      </left>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bottom style="medium">
        <color indexed="64"/>
      </bottom>
      <diagonal/>
    </border>
    <border>
      <left style="medium">
        <color indexed="64"/>
      </left>
      <right style="medium">
        <color rgb="FF000000"/>
      </right>
      <top/>
      <bottom style="medium">
        <color indexed="64"/>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DDDDDD"/>
      </left>
      <right/>
      <top style="medium">
        <color rgb="FFDDDDDD"/>
      </top>
      <bottom/>
      <diagonal/>
    </border>
    <border>
      <left/>
      <right/>
      <top style="medium">
        <color rgb="FFDDDDDD"/>
      </top>
      <bottom/>
      <diagonal/>
    </border>
    <border>
      <left/>
      <right style="medium">
        <color rgb="FFDDDDDD"/>
      </right>
      <top style="medium">
        <color rgb="FFDDDDDD"/>
      </top>
      <bottom/>
      <diagonal/>
    </border>
    <border>
      <left style="medium">
        <color rgb="FFDDDDDD"/>
      </left>
      <right/>
      <top/>
      <bottom/>
      <diagonal/>
    </border>
    <border>
      <left/>
      <right style="medium">
        <color rgb="FFDDDDDD"/>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91">
    <xf numFmtId="0" fontId="0" fillId="0" borderId="0" xfId="0"/>
    <xf numFmtId="0" fontId="0" fillId="0" borderId="0" xfId="0" quotePrefix="1"/>
    <xf numFmtId="0" fontId="0" fillId="2" borderId="0" xfId="0" applyFill="1"/>
    <xf numFmtId="0" fontId="2" fillId="2" borderId="1" xfId="0" quotePrefix="1" applyFont="1" applyFill="1" applyBorder="1"/>
    <xf numFmtId="0" fontId="2" fillId="2" borderId="2" xfId="0" applyFont="1" applyFill="1" applyBorder="1"/>
    <xf numFmtId="164" fontId="0" fillId="0" borderId="0" xfId="0" applyNumberFormat="1"/>
    <xf numFmtId="0" fontId="0" fillId="3" borderId="0" xfId="0" applyFill="1"/>
    <xf numFmtId="17" fontId="0" fillId="0" borderId="0" xfId="0" applyNumberFormat="1"/>
    <xf numFmtId="0" fontId="3" fillId="4" borderId="0" xfId="0" applyFont="1" applyFill="1"/>
    <xf numFmtId="2" fontId="0" fillId="0" borderId="0" xfId="0" applyNumberFormat="1"/>
    <xf numFmtId="0" fontId="0" fillId="0" borderId="4" xfId="0" applyBorder="1"/>
    <xf numFmtId="0" fontId="0" fillId="0" borderId="7" xfId="0" applyBorder="1"/>
    <xf numFmtId="0" fontId="0" fillId="0" borderId="6" xfId="0" applyBorder="1"/>
    <xf numFmtId="9" fontId="0" fillId="0" borderId="0" xfId="0" applyNumberFormat="1"/>
    <xf numFmtId="0" fontId="0" fillId="0" borderId="9" xfId="0" applyBorder="1"/>
    <xf numFmtId="0" fontId="0" fillId="0" borderId="5" xfId="0" applyBorder="1"/>
    <xf numFmtId="0" fontId="0" fillId="0" borderId="10" xfId="0" applyBorder="1"/>
    <xf numFmtId="0" fontId="0" fillId="0" borderId="11" xfId="0" applyBorder="1"/>
    <xf numFmtId="0" fontId="0" fillId="0" borderId="8" xfId="0" applyBorder="1"/>
    <xf numFmtId="0" fontId="0" fillId="0" borderId="13" xfId="0" applyBorder="1"/>
    <xf numFmtId="0" fontId="0" fillId="0" borderId="14" xfId="0" applyBorder="1"/>
    <xf numFmtId="0" fontId="0" fillId="0" borderId="15" xfId="0" applyBorder="1"/>
    <xf numFmtId="0" fontId="0" fillId="0" borderId="6" xfId="0" quotePrefix="1" applyBorder="1"/>
    <xf numFmtId="2" fontId="0" fillId="0" borderId="14" xfId="0" applyNumberFormat="1" applyBorder="1"/>
    <xf numFmtId="17" fontId="0" fillId="0" borderId="13" xfId="0" applyNumberFormat="1" applyBorder="1"/>
    <xf numFmtId="164" fontId="0" fillId="0" borderId="0" xfId="0" applyNumberFormat="1" applyAlignment="1">
      <alignment horizontal="right"/>
    </xf>
    <xf numFmtId="2" fontId="0" fillId="4" borderId="14" xfId="0" applyNumberFormat="1" applyFill="1" applyBorder="1"/>
    <xf numFmtId="2" fontId="2" fillId="2" borderId="8" xfId="0" applyNumberFormat="1" applyFont="1" applyFill="1" applyBorder="1"/>
    <xf numFmtId="164" fontId="0" fillId="0" borderId="0" xfId="1" applyFont="1" applyAlignment="1">
      <alignment horizontal="right"/>
    </xf>
    <xf numFmtId="164" fontId="0" fillId="0" borderId="0" xfId="0" applyNumberFormat="1" applyAlignment="1">
      <alignment horizontal="left" indent="1"/>
    </xf>
    <xf numFmtId="164" fontId="0" fillId="0" borderId="0" xfId="1" applyFont="1" applyAlignment="1">
      <alignment horizontal="right" indent="1"/>
    </xf>
    <xf numFmtId="164" fontId="0" fillId="4" borderId="7" xfId="0" applyNumberFormat="1" applyFill="1" applyBorder="1"/>
    <xf numFmtId="0" fontId="0" fillId="0" borderId="0" xfId="0" applyAlignment="1">
      <alignment horizontal="center"/>
    </xf>
    <xf numFmtId="0" fontId="0" fillId="4" borderId="8" xfId="0" applyFill="1" applyBorder="1"/>
    <xf numFmtId="0" fontId="2" fillId="0" borderId="1" xfId="0" applyFont="1" applyBorder="1"/>
    <xf numFmtId="164" fontId="0" fillId="0" borderId="8" xfId="0" applyNumberFormat="1" applyBorder="1"/>
    <xf numFmtId="164" fontId="0" fillId="4" borderId="8" xfId="0" applyNumberFormat="1" applyFill="1" applyBorder="1"/>
    <xf numFmtId="0" fontId="0" fillId="0" borderId="1" xfId="0" applyBorder="1"/>
    <xf numFmtId="0" fontId="4" fillId="0" borderId="2" xfId="0" applyFont="1" applyBorder="1"/>
    <xf numFmtId="0" fontId="0" fillId="5" borderId="2" xfId="0" applyFill="1" applyBorder="1"/>
    <xf numFmtId="0" fontId="2" fillId="0" borderId="13" xfId="0" applyFont="1" applyBorder="1"/>
    <xf numFmtId="164" fontId="0" fillId="0" borderId="7" xfId="1" applyFont="1" applyBorder="1"/>
    <xf numFmtId="164" fontId="0" fillId="0" borderId="7" xfId="1" applyFont="1" applyBorder="1" applyAlignment="1">
      <alignment horizontal="center"/>
    </xf>
    <xf numFmtId="0" fontId="0" fillId="6" borderId="0" xfId="0" applyFill="1"/>
    <xf numFmtId="164" fontId="0" fillId="0" borderId="16" xfId="0" applyNumberFormat="1" applyBorder="1"/>
    <xf numFmtId="164" fontId="0" fillId="0" borderId="5" xfId="0" applyNumberFormat="1" applyBorder="1"/>
    <xf numFmtId="0" fontId="0" fillId="0" borderId="12" xfId="0" applyBorder="1"/>
    <xf numFmtId="0" fontId="3" fillId="7" borderId="0" xfId="0" applyFont="1" applyFill="1"/>
    <xf numFmtId="0" fontId="0" fillId="7" borderId="0" xfId="0" applyFill="1"/>
    <xf numFmtId="0" fontId="4" fillId="0" borderId="0" xfId="0" applyFont="1"/>
    <xf numFmtId="17" fontId="0" fillId="3" borderId="0" xfId="0" applyNumberFormat="1" applyFill="1"/>
    <xf numFmtId="9" fontId="0" fillId="3" borderId="0" xfId="0" applyNumberFormat="1" applyFill="1"/>
    <xf numFmtId="0" fontId="0" fillId="8" borderId="0" xfId="0" applyFill="1"/>
    <xf numFmtId="0" fontId="0" fillId="0" borderId="3" xfId="0" applyBorder="1" applyAlignment="1">
      <alignment wrapText="1"/>
    </xf>
    <xf numFmtId="0" fontId="0" fillId="3" borderId="11" xfId="0" applyFill="1" applyBorder="1"/>
    <xf numFmtId="2" fontId="0" fillId="4" borderId="0" xfId="0" applyNumberFormat="1" applyFill="1"/>
    <xf numFmtId="2" fontId="2" fillId="2" borderId="0" xfId="0" applyNumberFormat="1" applyFont="1" applyFill="1"/>
    <xf numFmtId="0" fontId="0" fillId="4" borderId="4" xfId="0" applyFill="1" applyBorder="1"/>
    <xf numFmtId="0" fontId="0" fillId="4" borderId="9" xfId="0" applyFill="1" applyBorder="1"/>
    <xf numFmtId="0" fontId="0" fillId="4" borderId="5" xfId="0" applyFill="1" applyBorder="1"/>
    <xf numFmtId="0" fontId="2" fillId="4" borderId="13" xfId="0" applyFont="1" applyFill="1" applyBorder="1"/>
    <xf numFmtId="0" fontId="0" fillId="4" borderId="6" xfId="0" applyFill="1" applyBorder="1"/>
    <xf numFmtId="0" fontId="0" fillId="4" borderId="0" xfId="0" applyFill="1"/>
    <xf numFmtId="164" fontId="0" fillId="4" borderId="7" xfId="1" applyFont="1" applyFill="1" applyBorder="1"/>
    <xf numFmtId="0" fontId="0" fillId="4" borderId="14" xfId="0" applyFill="1" applyBorder="1"/>
    <xf numFmtId="164" fontId="4" fillId="9" borderId="3" xfId="1" applyFont="1" applyFill="1" applyBorder="1"/>
    <xf numFmtId="0" fontId="0" fillId="4" borderId="7" xfId="0" applyFill="1" applyBorder="1"/>
    <xf numFmtId="0" fontId="0" fillId="9" borderId="10" xfId="0" applyFill="1" applyBorder="1"/>
    <xf numFmtId="0" fontId="0" fillId="9" borderId="11" xfId="0" applyFill="1" applyBorder="1"/>
    <xf numFmtId="164" fontId="2" fillId="9" borderId="12" xfId="0" applyNumberFormat="1" applyFont="1" applyFill="1" applyBorder="1"/>
    <xf numFmtId="164" fontId="0" fillId="9" borderId="15" xfId="0" applyNumberFormat="1" applyFill="1" applyBorder="1"/>
    <xf numFmtId="0" fontId="6" fillId="4" borderId="0" xfId="0" applyFont="1" applyFill="1" applyAlignment="1">
      <alignment vertical="center"/>
    </xf>
    <xf numFmtId="0" fontId="7" fillId="4" borderId="0" xfId="0" applyFont="1" applyFill="1" applyAlignment="1">
      <alignment vertical="top" wrapText="1"/>
    </xf>
    <xf numFmtId="0" fontId="8" fillId="4" borderId="0" xfId="0" applyFont="1" applyFill="1" applyAlignment="1">
      <alignment horizontal="left" vertical="center" wrapText="1"/>
    </xf>
    <xf numFmtId="0" fontId="8" fillId="4" borderId="0" xfId="0" applyFont="1" applyFill="1" applyAlignment="1">
      <alignment horizontal="center" vertical="top" wrapText="1"/>
    </xf>
    <xf numFmtId="17" fontId="0" fillId="4" borderId="0" xfId="0" applyNumberFormat="1" applyFill="1"/>
    <xf numFmtId="0" fontId="4" fillId="4" borderId="2" xfId="0" applyFont="1" applyFill="1" applyBorder="1"/>
    <xf numFmtId="0" fontId="0" fillId="4" borderId="1" xfId="0" applyFill="1" applyBorder="1"/>
    <xf numFmtId="164" fontId="2" fillId="4" borderId="0" xfId="0" applyNumberFormat="1" applyFont="1" applyFill="1"/>
    <xf numFmtId="164" fontId="0" fillId="4" borderId="0" xfId="0" applyNumberFormat="1" applyFill="1"/>
    <xf numFmtId="0" fontId="0" fillId="0" borderId="13" xfId="0" applyBorder="1" applyAlignment="1">
      <alignment horizontal="center"/>
    </xf>
    <xf numFmtId="0" fontId="0" fillId="2" borderId="10" xfId="0" applyFill="1" applyBorder="1"/>
    <xf numFmtId="2" fontId="2" fillId="2" borderId="2" xfId="0" applyNumberFormat="1" applyFont="1" applyFill="1" applyBorder="1"/>
    <xf numFmtId="0" fontId="0" fillId="3" borderId="0" xfId="0" applyFill="1" applyAlignment="1">
      <alignment horizontal="center"/>
    </xf>
    <xf numFmtId="0" fontId="0" fillId="10" borderId="10" xfId="0" applyFill="1" applyBorder="1"/>
    <xf numFmtId="0" fontId="0" fillId="10" borderId="11" xfId="0" applyFill="1" applyBorder="1"/>
    <xf numFmtId="164" fontId="2" fillId="10" borderId="12" xfId="0" applyNumberFormat="1" applyFont="1" applyFill="1" applyBorder="1"/>
    <xf numFmtId="164" fontId="0" fillId="10" borderId="15" xfId="0" applyNumberFormat="1" applyFill="1" applyBorder="1"/>
    <xf numFmtId="4" fontId="0" fillId="9" borderId="0" xfId="0" applyNumberFormat="1" applyFill="1"/>
    <xf numFmtId="0" fontId="0" fillId="3" borderId="7" xfId="0" applyFill="1" applyBorder="1" applyAlignment="1">
      <alignment horizontal="center"/>
    </xf>
    <xf numFmtId="0" fontId="9" fillId="4" borderId="0" xfId="0" applyFont="1" applyFill="1" applyAlignment="1">
      <alignment horizontal="left" vertical="center"/>
    </xf>
    <xf numFmtId="0" fontId="10" fillId="4" borderId="0" xfId="0" applyFont="1" applyFill="1" applyAlignment="1">
      <alignment vertical="center"/>
    </xf>
    <xf numFmtId="0" fontId="11" fillId="4" borderId="0" xfId="0" applyFont="1" applyFill="1" applyAlignment="1">
      <alignment vertical="center"/>
    </xf>
    <xf numFmtId="164" fontId="12" fillId="4" borderId="0" xfId="0" applyNumberFormat="1" applyFont="1" applyFill="1"/>
    <xf numFmtId="0" fontId="0" fillId="11" borderId="1" xfId="0" applyFill="1" applyBorder="1"/>
    <xf numFmtId="0" fontId="13" fillId="0" borderId="0" xfId="0" applyFont="1"/>
    <xf numFmtId="0" fontId="0" fillId="0" borderId="0" xfId="0" applyAlignment="1">
      <alignment horizontal="right"/>
    </xf>
    <xf numFmtId="0" fontId="0" fillId="3" borderId="0" xfId="0" applyFill="1" applyAlignment="1">
      <alignment horizontal="right"/>
    </xf>
    <xf numFmtId="165" fontId="0" fillId="4" borderId="7" xfId="1" applyNumberFormat="1" applyFont="1" applyFill="1" applyBorder="1"/>
    <xf numFmtId="165" fontId="0" fillId="4" borderId="7" xfId="1" applyNumberFormat="1" applyFont="1" applyFill="1" applyBorder="1" applyAlignment="1">
      <alignment horizontal="center"/>
    </xf>
    <xf numFmtId="165" fontId="4" fillId="11" borderId="3" xfId="1" applyNumberFormat="1" applyFont="1" applyFill="1" applyBorder="1"/>
    <xf numFmtId="165" fontId="0" fillId="4" borderId="8" xfId="0" applyNumberFormat="1" applyFill="1" applyBorder="1"/>
    <xf numFmtId="165" fontId="0" fillId="0" borderId="8" xfId="0" applyNumberFormat="1" applyBorder="1"/>
    <xf numFmtId="165" fontId="2" fillId="11" borderId="12" xfId="0" applyNumberFormat="1" applyFont="1" applyFill="1" applyBorder="1"/>
    <xf numFmtId="165" fontId="0" fillId="11" borderId="15" xfId="0" applyNumberFormat="1" applyFill="1" applyBorder="1"/>
    <xf numFmtId="165" fontId="2" fillId="12" borderId="12" xfId="0" applyNumberFormat="1" applyFont="1" applyFill="1" applyBorder="1"/>
    <xf numFmtId="165" fontId="0" fillId="12" borderId="15" xfId="0" applyNumberFormat="1" applyFill="1" applyBorder="1"/>
    <xf numFmtId="0" fontId="0" fillId="4" borderId="17" xfId="0" applyFill="1" applyBorder="1"/>
    <xf numFmtId="0" fontId="0" fillId="4" borderId="18" xfId="0" applyFill="1" applyBorder="1"/>
    <xf numFmtId="0" fontId="0" fillId="4" borderId="19" xfId="0" applyFill="1" applyBorder="1"/>
    <xf numFmtId="0" fontId="2" fillId="4" borderId="20" xfId="0" applyFont="1" applyFill="1" applyBorder="1"/>
    <xf numFmtId="0" fontId="0" fillId="4" borderId="21" xfId="0" applyFill="1" applyBorder="1"/>
    <xf numFmtId="0" fontId="0" fillId="4" borderId="22" xfId="0" applyFill="1" applyBorder="1"/>
    <xf numFmtId="0" fontId="0" fillId="0" borderId="23" xfId="0" applyBorder="1"/>
    <xf numFmtId="0" fontId="0" fillId="0" borderId="24" xfId="0" applyBorder="1"/>
    <xf numFmtId="0" fontId="2" fillId="0" borderId="23" xfId="0" applyFont="1" applyBorder="1"/>
    <xf numFmtId="165" fontId="0" fillId="0" borderId="24" xfId="0" applyNumberFormat="1" applyBorder="1"/>
    <xf numFmtId="0" fontId="2" fillId="4" borderId="22" xfId="0" applyFont="1" applyFill="1" applyBorder="1" applyAlignment="1">
      <alignment vertical="center"/>
    </xf>
    <xf numFmtId="165" fontId="0" fillId="11" borderId="26" xfId="0" applyNumberFormat="1" applyFill="1" applyBorder="1"/>
    <xf numFmtId="165" fontId="2" fillId="12" borderId="29" xfId="0" applyNumberFormat="1" applyFont="1" applyFill="1" applyBorder="1"/>
    <xf numFmtId="165" fontId="0" fillId="12" borderId="30" xfId="0" applyNumberFormat="1" applyFill="1" applyBorder="1"/>
    <xf numFmtId="0" fontId="0" fillId="13" borderId="0" xfId="0" applyFill="1"/>
    <xf numFmtId="164" fontId="0" fillId="13" borderId="0" xfId="0" applyNumberFormat="1" applyFill="1"/>
    <xf numFmtId="0" fontId="3" fillId="13" borderId="0" xfId="0" applyFont="1" applyFill="1"/>
    <xf numFmtId="165" fontId="2" fillId="11" borderId="3" xfId="0" applyNumberFormat="1" applyFont="1" applyFill="1" applyBorder="1"/>
    <xf numFmtId="0" fontId="17" fillId="0" borderId="6" xfId="0" applyFont="1" applyBorder="1"/>
    <xf numFmtId="0" fontId="17" fillId="0" borderId="7" xfId="0" applyFont="1" applyBorder="1"/>
    <xf numFmtId="0" fontId="17" fillId="0" borderId="14" xfId="0" applyFont="1" applyBorder="1" applyAlignment="1">
      <alignment horizontal="right"/>
    </xf>
    <xf numFmtId="0" fontId="17" fillId="0" borderId="14" xfId="0" applyFont="1" applyBorder="1"/>
    <xf numFmtId="0" fontId="17" fillId="7" borderId="6" xfId="0" applyFont="1" applyFill="1" applyBorder="1"/>
    <xf numFmtId="0" fontId="17" fillId="7" borderId="7" xfId="0" applyFont="1" applyFill="1" applyBorder="1"/>
    <xf numFmtId="0" fontId="17" fillId="7" borderId="14" xfId="0" applyFont="1" applyFill="1" applyBorder="1"/>
    <xf numFmtId="0" fontId="17" fillId="0" borderId="15" xfId="0" applyFont="1" applyBorder="1"/>
    <xf numFmtId="0" fontId="16" fillId="0" borderId="0" xfId="0" applyFont="1"/>
    <xf numFmtId="0" fontId="0" fillId="14" borderId="0" xfId="0" applyFill="1" applyAlignment="1">
      <alignment horizontal="right"/>
    </xf>
    <xf numFmtId="0" fontId="17" fillId="0" borderId="0" xfId="0" applyFont="1"/>
    <xf numFmtId="0" fontId="18" fillId="15" borderId="13" xfId="0" applyFont="1" applyFill="1" applyBorder="1" applyAlignment="1">
      <alignment horizontal="center" vertical="center" wrapText="1"/>
    </xf>
    <xf numFmtId="0" fontId="18" fillId="15" borderId="5" xfId="0" applyFont="1" applyFill="1" applyBorder="1" applyAlignment="1">
      <alignment horizontal="center" vertical="center" wrapText="1"/>
    </xf>
    <xf numFmtId="9" fontId="0" fillId="14" borderId="0" xfId="2" applyFont="1" applyFill="1" applyAlignment="1">
      <alignment horizontal="right"/>
    </xf>
    <xf numFmtId="4" fontId="0" fillId="14" borderId="0" xfId="0" applyNumberFormat="1" applyFill="1" applyAlignment="1">
      <alignment horizontal="right"/>
    </xf>
    <xf numFmtId="0" fontId="18" fillId="14" borderId="13" xfId="0" applyFont="1" applyFill="1" applyBorder="1" applyAlignment="1">
      <alignment horizontal="center" vertical="center" wrapText="1"/>
    </xf>
    <xf numFmtId="0" fontId="0" fillId="14" borderId="13" xfId="0" applyFill="1" applyBorder="1"/>
    <xf numFmtId="0" fontId="17" fillId="14" borderId="14" xfId="0" applyFont="1" applyFill="1" applyBorder="1"/>
    <xf numFmtId="0" fontId="0" fillId="14" borderId="13" xfId="0" applyFill="1" applyBorder="1" applyAlignment="1">
      <alignment horizontal="center"/>
    </xf>
    <xf numFmtId="0" fontId="17" fillId="14" borderId="15" xfId="0" applyFont="1" applyFill="1" applyBorder="1"/>
    <xf numFmtId="166" fontId="17" fillId="0" borderId="14" xfId="0" applyNumberFormat="1" applyFont="1" applyBorder="1" applyAlignment="1">
      <alignment horizontal="right"/>
    </xf>
    <xf numFmtId="9" fontId="0" fillId="14" borderId="0" xfId="0" applyNumberFormat="1" applyFill="1" applyAlignment="1">
      <alignment horizontal="right"/>
    </xf>
    <xf numFmtId="166" fontId="17" fillId="0" borderId="15" xfId="0" applyNumberFormat="1" applyFont="1" applyBorder="1" applyAlignment="1">
      <alignment horizontal="right"/>
    </xf>
    <xf numFmtId="0" fontId="17" fillId="7" borderId="14" xfId="0" applyFont="1" applyFill="1" applyBorder="1" applyAlignment="1">
      <alignment horizontal="right"/>
    </xf>
    <xf numFmtId="166" fontId="17" fillId="7" borderId="14" xfId="0" applyNumberFormat="1" applyFont="1" applyFill="1" applyBorder="1" applyAlignment="1">
      <alignment horizontal="right"/>
    </xf>
    <xf numFmtId="0" fontId="17" fillId="0" borderId="10" xfId="0" applyFont="1" applyBorder="1"/>
    <xf numFmtId="0" fontId="18" fillId="14" borderId="13" xfId="0" applyFont="1" applyFill="1" applyBorder="1" applyAlignment="1">
      <alignment horizontal="center" vertical="center"/>
    </xf>
    <xf numFmtId="0" fontId="0" fillId="14" borderId="0" xfId="0" applyFill="1"/>
    <xf numFmtId="0" fontId="0" fillId="16" borderId="31" xfId="0" applyFill="1" applyBorder="1"/>
    <xf numFmtId="44" fontId="0" fillId="16" borderId="31" xfId="3" applyFont="1" applyFill="1" applyBorder="1"/>
    <xf numFmtId="0" fontId="21" fillId="13" borderId="32" xfId="0" applyFont="1" applyFill="1" applyBorder="1" applyAlignment="1">
      <alignment horizontal="left" vertical="center" wrapText="1" readingOrder="1"/>
    </xf>
    <xf numFmtId="0" fontId="21" fillId="13" borderId="33" xfId="0" applyFont="1" applyFill="1" applyBorder="1" applyAlignment="1">
      <alignment horizontal="left" vertical="center" wrapText="1" readingOrder="1"/>
    </xf>
    <xf numFmtId="0" fontId="21" fillId="13" borderId="34" xfId="0" applyFont="1" applyFill="1" applyBorder="1" applyAlignment="1">
      <alignment horizontal="left" vertical="center" wrapText="1" readingOrder="1"/>
    </xf>
    <xf numFmtId="0" fontId="21" fillId="17" borderId="35" xfId="0" applyFont="1" applyFill="1" applyBorder="1" applyAlignment="1">
      <alignment vertical="center" wrapText="1" readingOrder="1"/>
    </xf>
    <xf numFmtId="0" fontId="21" fillId="13" borderId="37" xfId="0" applyFont="1" applyFill="1" applyBorder="1" applyAlignment="1">
      <alignment vertical="center" wrapText="1" readingOrder="1"/>
    </xf>
    <xf numFmtId="0" fontId="21" fillId="17" borderId="35" xfId="0" applyFont="1" applyFill="1" applyBorder="1" applyAlignment="1">
      <alignment horizontal="center" vertical="center" wrapText="1" readingOrder="1"/>
    </xf>
    <xf numFmtId="0" fontId="21" fillId="17" borderId="0" xfId="0" applyFont="1" applyFill="1" applyAlignment="1">
      <alignment horizontal="center" vertical="center" wrapText="1" readingOrder="1"/>
    </xf>
    <xf numFmtId="0" fontId="21" fillId="17" borderId="36" xfId="0" applyFont="1" applyFill="1" applyBorder="1" applyAlignment="1">
      <alignment horizontal="center" vertical="center" wrapText="1" readingOrder="1"/>
    </xf>
    <xf numFmtId="0" fontId="21" fillId="13" borderId="35" xfId="0" applyFont="1" applyFill="1" applyBorder="1" applyAlignment="1">
      <alignment horizontal="center" vertical="center" wrapText="1" readingOrder="1"/>
    </xf>
    <xf numFmtId="0" fontId="21" fillId="13" borderId="0" xfId="0" applyFont="1" applyFill="1" applyAlignment="1">
      <alignment horizontal="center" vertical="center" wrapText="1" readingOrder="1"/>
    </xf>
    <xf numFmtId="0" fontId="21" fillId="13" borderId="36" xfId="0" applyFont="1" applyFill="1" applyBorder="1" applyAlignment="1">
      <alignment horizontal="center" vertical="center" wrapText="1" readingOrder="1"/>
    </xf>
    <xf numFmtId="0" fontId="21" fillId="18" borderId="35" xfId="0" applyFont="1" applyFill="1" applyBorder="1" applyAlignment="1">
      <alignment horizontal="center" vertical="center" wrapText="1" readingOrder="1"/>
    </xf>
    <xf numFmtId="0" fontId="21" fillId="18" borderId="0" xfId="0" applyFont="1" applyFill="1" applyAlignment="1">
      <alignment horizontal="center" vertical="center" wrapText="1" readingOrder="1"/>
    </xf>
    <xf numFmtId="0" fontId="21" fillId="18" borderId="36" xfId="0" applyFont="1" applyFill="1" applyBorder="1" applyAlignment="1">
      <alignment horizontal="center" vertical="center" wrapText="1" readingOrder="1"/>
    </xf>
    <xf numFmtId="0" fontId="21" fillId="13" borderId="37" xfId="0" applyFont="1" applyFill="1" applyBorder="1" applyAlignment="1">
      <alignment horizontal="center" vertical="center" wrapText="1" readingOrder="1"/>
    </xf>
    <xf numFmtId="0" fontId="21" fillId="13" borderId="38" xfId="0" applyFont="1" applyFill="1" applyBorder="1" applyAlignment="1">
      <alignment horizontal="center" vertical="center" wrapText="1" readingOrder="1"/>
    </xf>
    <xf numFmtId="0" fontId="21" fillId="13" borderId="39" xfId="0" applyFont="1" applyFill="1" applyBorder="1" applyAlignment="1">
      <alignment horizontal="center" vertical="center" wrapText="1" readingOrder="1"/>
    </xf>
    <xf numFmtId="0" fontId="21" fillId="13" borderId="32" xfId="0" applyFont="1" applyFill="1" applyBorder="1" applyAlignment="1">
      <alignment horizontal="center" vertical="center" wrapText="1" readingOrder="1"/>
    </xf>
    <xf numFmtId="0" fontId="21" fillId="13" borderId="33" xfId="0" applyFont="1" applyFill="1" applyBorder="1" applyAlignment="1">
      <alignment horizontal="center" vertical="center" wrapText="1" readingOrder="1"/>
    </xf>
    <xf numFmtId="0" fontId="21" fillId="13" borderId="34" xfId="0" applyFont="1" applyFill="1" applyBorder="1" applyAlignment="1">
      <alignment horizontal="center" vertical="center" wrapText="1" readingOrder="1"/>
    </xf>
    <xf numFmtId="0" fontId="0" fillId="0" borderId="31" xfId="0" applyBorder="1"/>
    <xf numFmtId="0" fontId="0" fillId="0" borderId="31" xfId="0" applyBorder="1" applyAlignment="1">
      <alignment horizontal="center"/>
    </xf>
    <xf numFmtId="2" fontId="0" fillId="0" borderId="31" xfId="0" applyNumberFormat="1" applyBorder="1" applyAlignment="1">
      <alignment horizontal="center"/>
    </xf>
    <xf numFmtId="49" fontId="0" fillId="0" borderId="31" xfId="0" applyNumberFormat="1" applyBorder="1" applyAlignment="1">
      <alignment horizontal="right"/>
    </xf>
    <xf numFmtId="44" fontId="0" fillId="3" borderId="7" xfId="0" applyNumberFormat="1" applyFill="1" applyBorder="1" applyAlignment="1">
      <alignment horizontal="center"/>
    </xf>
    <xf numFmtId="165" fontId="0" fillId="0" borderId="0" xfId="0" applyNumberFormat="1"/>
    <xf numFmtId="0" fontId="0" fillId="0" borderId="1" xfId="0" applyBorder="1" applyAlignment="1">
      <alignment horizontal="center"/>
    </xf>
    <xf numFmtId="0" fontId="14" fillId="11" borderId="25" xfId="0" applyFont="1" applyFill="1" applyBorder="1" applyAlignment="1">
      <alignment horizontal="left"/>
    </xf>
    <xf numFmtId="0" fontId="0" fillId="11" borderId="11" xfId="0" applyFill="1" applyBorder="1" applyAlignment="1">
      <alignment horizontal="left"/>
    </xf>
    <xf numFmtId="0" fontId="14" fillId="12" borderId="27" xfId="0" applyFont="1" applyFill="1" applyBorder="1" applyAlignment="1">
      <alignment horizontal="center"/>
    </xf>
    <xf numFmtId="0" fontId="0" fillId="12" borderId="28" xfId="0" applyFill="1" applyBorder="1" applyAlignment="1">
      <alignment horizontal="center"/>
    </xf>
    <xf numFmtId="0" fontId="14" fillId="11" borderId="11" xfId="0" applyFont="1" applyFill="1" applyBorder="1" applyAlignment="1">
      <alignment horizontal="left"/>
    </xf>
    <xf numFmtId="0" fontId="0" fillId="12" borderId="2" xfId="0" applyFill="1" applyBorder="1" applyAlignment="1">
      <alignment horizontal="center"/>
    </xf>
    <xf numFmtId="0" fontId="20" fillId="0" borderId="0" xfId="0" applyFont="1" applyAlignment="1">
      <alignment horizontal="center"/>
    </xf>
    <xf numFmtId="0" fontId="0" fillId="0" borderId="38" xfId="0" applyBorder="1" applyAlignment="1">
      <alignment horizontal="center"/>
    </xf>
    <xf numFmtId="0" fontId="0" fillId="0" borderId="2" xfId="0" applyBorder="1" applyAlignment="1"/>
  </cellXfs>
  <cellStyles count="4">
    <cellStyle name="Milliers" xfId="1" builtinId="3"/>
    <cellStyle name="Monétaire" xfId="3" builtinId="4"/>
    <cellStyle name="Normal" xfId="0" builtinId="0"/>
    <cellStyle name="Pourcentage" xfId="2" builtinId="5"/>
  </cellStyles>
  <dxfs count="0"/>
  <tableStyles count="0" defaultTableStyle="TableStyleMedium2" defaultPivotStyle="PivotStyleLight16"/>
  <colors>
    <mruColors>
      <color rgb="FF00FF00"/>
      <color rgb="FF27E4FD"/>
      <color rgb="FFFF5050"/>
      <color rgb="FFFF000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285750</xdr:colOff>
      <xdr:row>1</xdr:row>
      <xdr:rowOff>114300</xdr:rowOff>
    </xdr:from>
    <xdr:to>
      <xdr:col>18</xdr:col>
      <xdr:colOff>173355</xdr:colOff>
      <xdr:row>17</xdr:row>
      <xdr:rowOff>15614</xdr:rowOff>
    </xdr:to>
    <xdr:pic>
      <xdr:nvPicPr>
        <xdr:cNvPr id="2" name="Image 1">
          <a:extLst>
            <a:ext uri="{FF2B5EF4-FFF2-40B4-BE49-F238E27FC236}">
              <a16:creationId xmlns:a16="http://schemas.microsoft.com/office/drawing/2014/main" id="{EA4D12B9-FD02-E617-476E-8559724C8AEB}"/>
            </a:ext>
          </a:extLst>
        </xdr:cNvPr>
        <xdr:cNvPicPr>
          <a:picLocks noChangeAspect="1"/>
        </xdr:cNvPicPr>
      </xdr:nvPicPr>
      <xdr:blipFill>
        <a:blip xmlns:r="http://schemas.openxmlformats.org/officeDocument/2006/relationships" r:embed="rId1"/>
        <a:stretch>
          <a:fillRect/>
        </a:stretch>
      </xdr:blipFill>
      <xdr:spPr>
        <a:xfrm>
          <a:off x="15506700" y="304800"/>
          <a:ext cx="5362575" cy="29569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380153</xdr:colOff>
      <xdr:row>31</xdr:row>
      <xdr:rowOff>165099</xdr:rowOff>
    </xdr:from>
    <xdr:to>
      <xdr:col>2</xdr:col>
      <xdr:colOff>1267883</xdr:colOff>
      <xdr:row>34</xdr:row>
      <xdr:rowOff>57816</xdr:rowOff>
    </xdr:to>
    <xdr:pic>
      <xdr:nvPicPr>
        <xdr:cNvPr id="11" name="Image 10">
          <a:extLst>
            <a:ext uri="{FF2B5EF4-FFF2-40B4-BE49-F238E27FC236}">
              <a16:creationId xmlns:a16="http://schemas.microsoft.com/office/drawing/2014/main" id="{A2CF4422-1D8E-42DC-8D6D-04B3D5F76A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210" t="11111" r="19571" b="14937"/>
        <a:stretch/>
      </xdr:blipFill>
      <xdr:spPr>
        <a:xfrm>
          <a:off x="1163320" y="5774266"/>
          <a:ext cx="1286086" cy="1226217"/>
        </a:xfrm>
        <a:prstGeom prst="rect">
          <a:avLst/>
        </a:prstGeom>
      </xdr:spPr>
    </xdr:pic>
    <xdr:clientData/>
  </xdr:twoCellAnchor>
  <xdr:twoCellAnchor editAs="oneCell">
    <xdr:from>
      <xdr:col>2</xdr:col>
      <xdr:colOff>9525</xdr:colOff>
      <xdr:row>50</xdr:row>
      <xdr:rowOff>28575</xdr:rowOff>
    </xdr:from>
    <xdr:to>
      <xdr:col>2</xdr:col>
      <xdr:colOff>1276350</xdr:colOff>
      <xdr:row>52</xdr:row>
      <xdr:rowOff>110733</xdr:rowOff>
    </xdr:to>
    <xdr:pic>
      <xdr:nvPicPr>
        <xdr:cNvPr id="12" name="Image 11">
          <a:extLst>
            <a:ext uri="{FF2B5EF4-FFF2-40B4-BE49-F238E27FC236}">
              <a16:creationId xmlns:a16="http://schemas.microsoft.com/office/drawing/2014/main" id="{4BD0C7DB-B894-4E5E-90DB-6DEA5BF7285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2210" t="11111" r="19571" b="14937"/>
        <a:stretch/>
      </xdr:blipFill>
      <xdr:spPr>
        <a:xfrm>
          <a:off x="1152525" y="10429875"/>
          <a:ext cx="1261110" cy="1225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523875</xdr:colOff>
      <xdr:row>2</xdr:row>
      <xdr:rowOff>171450</xdr:rowOff>
    </xdr:from>
    <xdr:to>
      <xdr:col>22</xdr:col>
      <xdr:colOff>60146</xdr:colOff>
      <xdr:row>14</xdr:row>
      <xdr:rowOff>171824</xdr:rowOff>
    </xdr:to>
    <xdr:pic>
      <xdr:nvPicPr>
        <xdr:cNvPr id="2" name="Image 1">
          <a:extLst>
            <a:ext uri="{FF2B5EF4-FFF2-40B4-BE49-F238E27FC236}">
              <a16:creationId xmlns:a16="http://schemas.microsoft.com/office/drawing/2014/main" id="{69A392F4-9DB0-B027-2E9C-88F8035BA1CB}"/>
            </a:ext>
          </a:extLst>
        </xdr:cNvPr>
        <xdr:cNvPicPr>
          <a:picLocks noChangeAspect="1"/>
        </xdr:cNvPicPr>
      </xdr:nvPicPr>
      <xdr:blipFill>
        <a:blip xmlns:r="http://schemas.openxmlformats.org/officeDocument/2006/relationships" r:embed="rId1"/>
        <a:stretch>
          <a:fillRect/>
        </a:stretch>
      </xdr:blipFill>
      <xdr:spPr>
        <a:xfrm>
          <a:off x="7639050" y="533400"/>
          <a:ext cx="7817306" cy="2674994"/>
        </a:xfrm>
        <a:prstGeom prst="rect">
          <a:avLst/>
        </a:prstGeom>
      </xdr:spPr>
    </xdr:pic>
    <xdr:clientData/>
  </xdr:twoCellAnchor>
  <xdr:twoCellAnchor editAs="oneCell">
    <xdr:from>
      <xdr:col>12</xdr:col>
      <xdr:colOff>571500</xdr:colOff>
      <xdr:row>22</xdr:row>
      <xdr:rowOff>76200</xdr:rowOff>
    </xdr:from>
    <xdr:to>
      <xdr:col>22</xdr:col>
      <xdr:colOff>54421</xdr:colOff>
      <xdr:row>31</xdr:row>
      <xdr:rowOff>133604</xdr:rowOff>
    </xdr:to>
    <xdr:pic>
      <xdr:nvPicPr>
        <xdr:cNvPr id="3" name="Image 2">
          <a:extLst>
            <a:ext uri="{FF2B5EF4-FFF2-40B4-BE49-F238E27FC236}">
              <a16:creationId xmlns:a16="http://schemas.microsoft.com/office/drawing/2014/main" id="{6B4BFEA3-49AF-D176-4D77-09A016E71926}"/>
            </a:ext>
          </a:extLst>
        </xdr:cNvPr>
        <xdr:cNvPicPr>
          <a:picLocks noChangeAspect="1"/>
        </xdr:cNvPicPr>
      </xdr:nvPicPr>
      <xdr:blipFill>
        <a:blip xmlns:r="http://schemas.openxmlformats.org/officeDocument/2006/relationships" r:embed="rId2"/>
        <a:stretch>
          <a:fillRect/>
        </a:stretch>
      </xdr:blipFill>
      <xdr:spPr>
        <a:xfrm>
          <a:off x="7686675" y="4105275"/>
          <a:ext cx="7744906" cy="1821434"/>
        </a:xfrm>
        <a:prstGeom prst="rect">
          <a:avLst/>
        </a:prstGeom>
      </xdr:spPr>
    </xdr:pic>
    <xdr:clientData/>
  </xdr:twoCellAnchor>
  <xdr:twoCellAnchor editAs="oneCell">
    <xdr:from>
      <xdr:col>13</xdr:col>
      <xdr:colOff>323850</xdr:colOff>
      <xdr:row>35</xdr:row>
      <xdr:rowOff>171450</xdr:rowOff>
    </xdr:from>
    <xdr:to>
      <xdr:col>20</xdr:col>
      <xdr:colOff>358967</xdr:colOff>
      <xdr:row>44</xdr:row>
      <xdr:rowOff>55545</xdr:rowOff>
    </xdr:to>
    <xdr:pic>
      <xdr:nvPicPr>
        <xdr:cNvPr id="4" name="Image 3">
          <a:extLst>
            <a:ext uri="{FF2B5EF4-FFF2-40B4-BE49-F238E27FC236}">
              <a16:creationId xmlns:a16="http://schemas.microsoft.com/office/drawing/2014/main" id="{D967C882-F467-A7A4-9884-6E4EB6683496}"/>
            </a:ext>
          </a:extLst>
        </xdr:cNvPr>
        <xdr:cNvPicPr>
          <a:picLocks noChangeAspect="1"/>
        </xdr:cNvPicPr>
      </xdr:nvPicPr>
      <xdr:blipFill>
        <a:blip xmlns:r="http://schemas.openxmlformats.org/officeDocument/2006/relationships" r:embed="rId3"/>
        <a:stretch>
          <a:fillRect/>
        </a:stretch>
      </xdr:blipFill>
      <xdr:spPr>
        <a:xfrm>
          <a:off x="8229600" y="6600825"/>
          <a:ext cx="5923472" cy="215485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9"/>
  <sheetViews>
    <sheetView tabSelected="1" zoomScaleNormal="100" workbookViewId="0">
      <selection activeCell="G26" sqref="G26"/>
    </sheetView>
  </sheetViews>
  <sheetFormatPr defaultColWidth="11.42578125" defaultRowHeight="14.45"/>
  <cols>
    <col min="2" max="2" width="5.85546875" customWidth="1"/>
    <col min="3" max="3" width="24" customWidth="1"/>
    <col min="4" max="4" width="16.140625" customWidth="1"/>
    <col min="5" max="5" width="11" customWidth="1"/>
    <col min="6" max="7" width="12.140625" customWidth="1"/>
    <col min="8" max="8" width="12.85546875" customWidth="1"/>
    <col min="10" max="10" width="22" customWidth="1"/>
    <col min="11" max="11" width="38.7109375" customWidth="1"/>
    <col min="12" max="12" width="19" customWidth="1"/>
    <col min="13" max="13" width="32.85546875" customWidth="1"/>
    <col min="16" max="16" width="34.5703125" customWidth="1"/>
    <col min="17" max="17" width="24.28515625" customWidth="1"/>
  </cols>
  <sheetData>
    <row r="1" spans="2:13">
      <c r="B1" s="10" t="s">
        <v>0</v>
      </c>
      <c r="C1" s="95" t="s">
        <v>1</v>
      </c>
      <c r="D1" s="14"/>
      <c r="E1" s="14"/>
      <c r="F1" s="14"/>
      <c r="G1" s="14"/>
      <c r="H1" s="14"/>
      <c r="I1" s="14"/>
      <c r="J1" s="14"/>
      <c r="K1" s="153" t="s">
        <v>2</v>
      </c>
      <c r="L1" s="154"/>
    </row>
    <row r="2" spans="2:13">
      <c r="B2" s="12"/>
      <c r="K2" s="153" t="s">
        <v>3</v>
      </c>
      <c r="L2" s="154"/>
    </row>
    <row r="3" spans="2:13">
      <c r="B3" s="12" t="s">
        <v>4</v>
      </c>
      <c r="C3" s="50"/>
      <c r="K3" s="153" t="s">
        <v>5</v>
      </c>
      <c r="L3" s="154"/>
    </row>
    <row r="4" spans="2:13">
      <c r="B4" s="12"/>
      <c r="K4" s="153" t="s">
        <v>6</v>
      </c>
      <c r="L4" s="153"/>
    </row>
    <row r="5" spans="2:13">
      <c r="B5" s="12" t="s">
        <v>7</v>
      </c>
      <c r="F5" s="7"/>
      <c r="G5" s="7"/>
      <c r="H5" s="96">
        <f>+H9*12</f>
        <v>120</v>
      </c>
      <c r="J5" t="s">
        <v>8</v>
      </c>
      <c r="K5" t="s">
        <v>9</v>
      </c>
      <c r="L5" s="11" t="s">
        <v>10</v>
      </c>
      <c r="M5" t="s">
        <v>11</v>
      </c>
    </row>
    <row r="6" spans="2:13">
      <c r="B6" s="12" t="s">
        <v>12</v>
      </c>
      <c r="H6" s="96">
        <v>228</v>
      </c>
      <c r="I6" t="s">
        <v>13</v>
      </c>
      <c r="J6" s="83"/>
      <c r="K6" s="83">
        <f>+IF(IK!G72&lt;&gt;0,IK!G72,0)</f>
        <v>34.191359999999996</v>
      </c>
      <c r="L6" s="179">
        <f>+((L1/2)*12)+((L2/2)*12)+((L3/2)*12)+L4*12</f>
        <v>0</v>
      </c>
      <c r="M6" s="6"/>
    </row>
    <row r="7" spans="2:13">
      <c r="B7" s="12" t="s">
        <v>14</v>
      </c>
      <c r="H7" s="97">
        <v>5</v>
      </c>
      <c r="J7" s="83"/>
      <c r="K7" s="83"/>
      <c r="L7" s="89"/>
      <c r="M7" s="6"/>
    </row>
    <row r="8" spans="2:13">
      <c r="B8" s="12" t="s">
        <v>15</v>
      </c>
      <c r="H8" s="134">
        <v>2374</v>
      </c>
      <c r="L8" s="11"/>
    </row>
    <row r="9" spans="2:13">
      <c r="B9" s="12" t="s">
        <v>16</v>
      </c>
      <c r="H9" s="97">
        <v>10</v>
      </c>
      <c r="L9" s="11"/>
    </row>
    <row r="10" spans="2:13">
      <c r="B10" s="12" t="s">
        <v>17</v>
      </c>
      <c r="E10" s="83" t="s">
        <v>18</v>
      </c>
      <c r="H10" s="96">
        <f>IF(E10="oui",H5,0)</f>
        <v>0</v>
      </c>
      <c r="L10" s="11"/>
    </row>
    <row r="11" spans="2:13">
      <c r="B11" s="12" t="s">
        <v>19</v>
      </c>
      <c r="E11" s="32"/>
      <c r="H11" s="96">
        <v>19</v>
      </c>
      <c r="L11" s="11"/>
    </row>
    <row r="12" spans="2:13">
      <c r="B12" s="12" t="s">
        <v>20</v>
      </c>
      <c r="E12" s="32"/>
      <c r="H12" s="134">
        <v>14.36</v>
      </c>
      <c r="L12" s="11"/>
    </row>
    <row r="13" spans="2:13">
      <c r="B13" s="12" t="s">
        <v>21</v>
      </c>
      <c r="E13" s="32"/>
      <c r="H13" s="146">
        <v>0.5</v>
      </c>
      <c r="L13" s="11"/>
    </row>
    <row r="14" spans="2:13">
      <c r="B14" s="12"/>
      <c r="E14" s="32"/>
      <c r="H14" s="96"/>
      <c r="L14" s="11"/>
    </row>
    <row r="15" spans="2:13">
      <c r="B15" s="12" t="s">
        <v>22</v>
      </c>
      <c r="E15" s="83" t="s">
        <v>23</v>
      </c>
      <c r="H15" s="138" t="str">
        <f>IF(E15="non",0,"1,5%")</f>
        <v>1,5%</v>
      </c>
      <c r="L15" s="11"/>
    </row>
    <row r="16" spans="2:13">
      <c r="B16" s="12" t="s">
        <v>24</v>
      </c>
      <c r="E16" s="32"/>
      <c r="H16" s="139">
        <v>3925</v>
      </c>
      <c r="L16" s="11"/>
    </row>
    <row r="17" spans="2:17">
      <c r="B17" s="12" t="s">
        <v>25</v>
      </c>
      <c r="E17" s="32"/>
      <c r="H17" s="138">
        <v>0.5</v>
      </c>
      <c r="L17" s="11"/>
    </row>
    <row r="18" spans="2:17">
      <c r="B18" s="12" t="s">
        <v>26</v>
      </c>
      <c r="E18" s="32"/>
      <c r="H18" s="138">
        <v>0.5</v>
      </c>
      <c r="L18" s="11"/>
    </row>
    <row r="19" spans="2:17">
      <c r="B19" s="12"/>
      <c r="L19" s="11"/>
    </row>
    <row r="20" spans="2:17">
      <c r="B20" s="12" t="s">
        <v>27</v>
      </c>
      <c r="H20" s="6">
        <v>1000</v>
      </c>
      <c r="L20" s="11"/>
    </row>
    <row r="21" spans="2:17">
      <c r="B21" s="12"/>
      <c r="C21" s="1" t="s">
        <v>28</v>
      </c>
      <c r="H21" s="51">
        <v>0.05</v>
      </c>
      <c r="L21" s="11"/>
      <c r="P21" s="153" t="s">
        <v>29</v>
      </c>
      <c r="Q21" s="175" t="s">
        <v>30</v>
      </c>
    </row>
    <row r="22" spans="2:17" ht="15" thickBot="1">
      <c r="B22" s="16"/>
      <c r="C22" s="17" t="s">
        <v>31</v>
      </c>
      <c r="D22" s="17"/>
      <c r="E22" s="17" t="s">
        <v>32</v>
      </c>
      <c r="F22" s="17"/>
      <c r="G22" s="17"/>
      <c r="H22" s="54">
        <v>0</v>
      </c>
      <c r="I22" s="17"/>
      <c r="J22" s="17"/>
      <c r="K22" s="17"/>
      <c r="L22" s="46"/>
      <c r="P22" s="153" t="s">
        <v>33</v>
      </c>
      <c r="Q22" s="175">
        <v>5</v>
      </c>
    </row>
    <row r="23" spans="2:17">
      <c r="H23" t="s">
        <v>34</v>
      </c>
      <c r="K23" t="s">
        <v>35</v>
      </c>
      <c r="P23" s="153" t="s">
        <v>36</v>
      </c>
      <c r="Q23" s="175">
        <f>44.8*2</f>
        <v>89.6</v>
      </c>
    </row>
    <row r="24" spans="2:17" ht="15" thickBot="1">
      <c r="P24" s="153" t="s">
        <v>37</v>
      </c>
      <c r="Q24" s="175">
        <v>3</v>
      </c>
    </row>
    <row r="25" spans="2:17">
      <c r="B25" t="s">
        <v>27</v>
      </c>
      <c r="H25">
        <f>H20</f>
        <v>1000</v>
      </c>
      <c r="K25" s="10">
        <f>+H20</f>
        <v>1000</v>
      </c>
      <c r="L25" s="15"/>
    </row>
    <row r="26" spans="2:17">
      <c r="B26" t="s">
        <v>38</v>
      </c>
      <c r="H26">
        <f>(H5*H20)</f>
        <v>120000</v>
      </c>
      <c r="K26" s="12">
        <f>+H20*H9</f>
        <v>10000</v>
      </c>
      <c r="L26" s="11"/>
    </row>
    <row r="27" spans="2:17">
      <c r="C27" s="1" t="s">
        <v>39</v>
      </c>
      <c r="H27">
        <f>M6</f>
        <v>0</v>
      </c>
      <c r="K27" s="12">
        <f>+H27/12</f>
        <v>0</v>
      </c>
      <c r="L27" s="11"/>
    </row>
    <row r="28" spans="2:17">
      <c r="F28" t="s">
        <v>40</v>
      </c>
      <c r="H28">
        <f>H27+H26</f>
        <v>120000</v>
      </c>
      <c r="K28" s="12">
        <f>K27+K26</f>
        <v>10000</v>
      </c>
      <c r="L28" s="11"/>
    </row>
    <row r="29" spans="2:17">
      <c r="C29" s="1" t="s">
        <v>28</v>
      </c>
      <c r="F29" s="13">
        <f>H21</f>
        <v>0.05</v>
      </c>
      <c r="G29" s="13"/>
      <c r="H29">
        <f>H28*F29</f>
        <v>6000</v>
      </c>
      <c r="K29" s="12">
        <f>+K26*H21</f>
        <v>500</v>
      </c>
      <c r="L29" s="11"/>
    </row>
    <row r="30" spans="2:17">
      <c r="C30" s="1" t="s">
        <v>31</v>
      </c>
      <c r="F30" s="13"/>
      <c r="G30" s="13"/>
      <c r="H30">
        <f>H22*H5</f>
        <v>0</v>
      </c>
      <c r="K30" s="12">
        <f>+H22*H9</f>
        <v>0</v>
      </c>
      <c r="L30" s="11"/>
    </row>
    <row r="31" spans="2:17">
      <c r="C31" s="1" t="s">
        <v>41</v>
      </c>
      <c r="H31">
        <f>H5*(J6+K6)+L6+M6</f>
        <v>4102.9631999999992</v>
      </c>
      <c r="K31" s="12">
        <f>H31/12</f>
        <v>341.91359999999992</v>
      </c>
      <c r="L31" s="11"/>
    </row>
    <row r="32" spans="2:17" ht="15" thickBot="1">
      <c r="B32" s="2" t="s">
        <v>42</v>
      </c>
      <c r="C32" s="2"/>
      <c r="D32" s="2"/>
      <c r="E32" s="2"/>
      <c r="F32" s="2"/>
      <c r="G32" s="2"/>
      <c r="H32" s="2">
        <f>H28-H29-H31-H30</f>
        <v>109897.0368</v>
      </c>
      <c r="I32">
        <f>H32+H31</f>
        <v>114000</v>
      </c>
      <c r="K32" s="81">
        <f>K28-K29-K31-K30</f>
        <v>9158.0864000000001</v>
      </c>
      <c r="L32" s="46">
        <f>K32+K31</f>
        <v>9500</v>
      </c>
    </row>
    <row r="35" spans="1:20" ht="15" thickBot="1">
      <c r="C35" s="152" t="s">
        <v>43</v>
      </c>
      <c r="D35" s="152"/>
      <c r="E35" s="152"/>
      <c r="F35" s="152"/>
      <c r="G35" s="152" t="s">
        <v>44</v>
      </c>
      <c r="H35" s="152"/>
      <c r="I35" s="152"/>
      <c r="J35" s="152"/>
      <c r="K35" s="152"/>
    </row>
    <row r="36" spans="1:20" ht="15" thickBot="1">
      <c r="M36" t="s">
        <v>45</v>
      </c>
      <c r="N36" s="33">
        <f>+K32</f>
        <v>9158.0864000000001</v>
      </c>
    </row>
    <row r="37" spans="1:20" ht="32.25" customHeight="1" thickBot="1">
      <c r="A37" t="s">
        <v>46</v>
      </c>
      <c r="C37" s="10" t="s">
        <v>47</v>
      </c>
      <c r="D37" s="14"/>
      <c r="E37" s="151" t="s">
        <v>48</v>
      </c>
      <c r="F37" s="140" t="s">
        <v>49</v>
      </c>
      <c r="G37" s="136" t="s">
        <v>50</v>
      </c>
      <c r="H37" s="136" t="s">
        <v>51</v>
      </c>
      <c r="I37" s="140" t="s">
        <v>52</v>
      </c>
      <c r="J37" s="137" t="s">
        <v>53</v>
      </c>
      <c r="K37" s="137" t="s">
        <v>54</v>
      </c>
      <c r="N37" s="32" t="s">
        <v>55</v>
      </c>
      <c r="O37" s="32" t="s">
        <v>56</v>
      </c>
    </row>
    <row r="38" spans="1:20" ht="15.75" customHeight="1">
      <c r="C38" s="10"/>
      <c r="D38" s="15"/>
      <c r="E38" s="141"/>
      <c r="F38" s="141"/>
      <c r="G38" s="80"/>
      <c r="H38" s="80"/>
      <c r="I38" s="143"/>
      <c r="J38" s="80"/>
      <c r="K38" s="80"/>
      <c r="M38" t="s">
        <v>57</v>
      </c>
      <c r="N38">
        <f>IF($N$36&lt;=$C$39,H39,IF($N$36&lt;=$C$40,H39,IF($N$36&lt;=$C$41,H40,IF($N$36&lt;=$C$42,H41,IF($N$36&lt;=$C$43,H42,IF($N$36&lt;=$C$44,H43,IF($N$36&lt;=$C$45,H44,IF($N$36&lt;=$C$46,H45,IF($N$36&lt;=$C$47,H46,IF($N$36&lt;=$C$48,H47,IF($N$36&lt;=$C$49,H48,IF($N$36&lt;=$C$50,H49,IF($N$36&lt;=$C$51,H50,IF($N$36&lt;$C$52,H51,IF($N$36&lt;=$C$53,H52,IF($N$36&lt;=$C$54,H53,IF($N$36&lt;=$C$55,H54,IF($N$36&lt;=$C$56,H55,IF($N$36&lt;=$C$57,H56,IF($N$36&lt;=$C$58,H57,IF($N$36&lt;=$C$59,H58,IF($N$36&lt;=$C$60,H59,IF($N$36&lt;=$C$61,H60,IF($N$36&lt;=$C$62,H61,IF($N$36&lt;=$C$63,H62,IF($N$36&lt;=$C$64,H63,IF($N$36&lt;=$C$65,H64,IF($N$36&lt;=$C$66,H65,IF($N$36&lt;=$C$67,H66,IF($N$36&lt;=$C$68,H67,IF($N$36&lt;=$C$69,H68,IF($N$36&lt;=$C$70,H69,IF($N$36&lt;=$C$71,H70,IF($N$36&lt;=$C$72,H71,IF($N$36&lt;=$C$73,H72,IF($N$36&lt;=$C$74,H73,IF($N$36&lt;=$C$75,H74,IF($N$36&lt;=$C$76,H75,H76))))))))))))))))))))))))))))))))))))))</f>
        <v>0.46686311339938985</v>
      </c>
      <c r="O38">
        <f>IF($N$36&lt;=$C$39,K39,IF($N$36&lt;=$C$40,K39,IF($N$36&lt;=$C$41,K40,IF($N$36&lt;=$C$42,K41,IF($N$36&lt;=$C$43,K42,IF($N$36&lt;=$C$44,K43,IF($N$36&lt;=$C$45,K44,IF($N$36&lt;=$C$46,K45,IF($N$36&lt;=$C$47,K46,IF($N$36&lt;=$C$48,K47,IF($N$36&lt;=$C$49,K48,IF($N$36&lt;=$C$50,K49,IF($N$36&lt;=$C$51,K50,IF($N$36&lt;$C$52,K51,IF($N$36&lt;=$C$53,K52,IF($N$36&lt;=$C$54,K53,IF($N$36&lt;=$C$55,K54,IF($N$36&lt;=$C$56,K55,IF($N$36&lt;=$C$57,K56,IF($N$36&lt;=$C$58,K57,IF($N$36&lt;=$K$59,K58,IF($N$36&lt;=$C$60,K59,IF($N$36&lt;=$C$61,K60,IF($N$36&lt;=$C$62,K61,IF($N$36&lt;=$C$63,K62,IF($N$36&lt;=$C$64,K63,IF($N$36&lt;=$C$65,K64,IF($N$36&lt;=$C$66,K65,IF($N$36&lt;=$C$67,K66,IF($N$36&lt;=$C$68,K67,IF($N$36&lt;=$C$69,K68,IF($N$36&lt;=$C$70,K69,IF($N$36&lt;=$C$71,K70,IF($N$36&lt;=$C$72,K71,IF($N$36&lt;=$C$73,K72,IF($N$36&lt;=$C$74,K73,IF($N$36&lt;=$C$75,K74,IF($N$36&lt;=$C$76,K75,K76))))))))))))))))))))))))))))))))))))))</f>
        <v>0.23562519845655283</v>
      </c>
    </row>
    <row r="39" spans="1:20" ht="15.75" customHeight="1">
      <c r="C39" s="125">
        <v>5000</v>
      </c>
      <c r="D39" s="126"/>
      <c r="E39" s="142">
        <v>3666.85</v>
      </c>
      <c r="F39" s="142">
        <v>1333.15</v>
      </c>
      <c r="G39" s="127">
        <f>IF($E$15="non",F39+($H$11*($H$12*$H$13)),F39+($H$11*($H$12*$H$13))+($H$16*($H$15*$H$18)+((($H$16*($H$15*$H$18)*8/100)))))</f>
        <v>1501.3625000000002</v>
      </c>
      <c r="H39" s="128">
        <f t="shared" ref="H39:H78" si="0">G39/E39</f>
        <v>0.40944202789860512</v>
      </c>
      <c r="I39" s="142">
        <v>2896.27</v>
      </c>
      <c r="J39" s="145">
        <f>IF($E$15="non",I39-(($H$12*$H$13)*$H$11),I39-(($H$12*$H$13)*$H$11)-($H$16*($H$15*$H$17))-((($H$16*($H$15*$H$17)*9.7/100))))</f>
        <v>2727.5570625</v>
      </c>
      <c r="K39" s="128">
        <f t="shared" ref="K39:K78" si="1">1-(J39/E39)</f>
        <v>0.25615799323670174</v>
      </c>
      <c r="L39" s="135"/>
      <c r="S39" s="133">
        <v>589.35</v>
      </c>
      <c r="T39" s="133"/>
    </row>
    <row r="40" spans="1:20" ht="15.75" customHeight="1">
      <c r="C40" s="125">
        <v>5250</v>
      </c>
      <c r="D40" s="126"/>
      <c r="E40" s="142">
        <v>3850.21</v>
      </c>
      <c r="F40" s="142">
        <v>1399.79</v>
      </c>
      <c r="G40" s="127">
        <f t="shared" ref="G40:G78" si="2">IF($E$15="non",F40+($H$11*($H$12*$H$13)),F40+($H$11*($H$12*$H$13))+($H$16*($H$15*$H$18)+((($H$16*($H$15*$H$18)*8/100)))))</f>
        <v>1568.0025000000001</v>
      </c>
      <c r="H40" s="128">
        <f t="shared" si="0"/>
        <v>0.40725116292358082</v>
      </c>
      <c r="I40" s="142">
        <v>3041.12</v>
      </c>
      <c r="J40" s="145">
        <f t="shared" ref="J40:J78" si="3">IF($E$15="non",I40-(($H$12*$H$13)*$H$11),I40-(($H$12*$H$13)*$H$11)-($H$16*($H$15*$H$17))-((($H$16*($H$15*$H$17)*9.7/100))))</f>
        <v>2872.4070624999999</v>
      </c>
      <c r="K40" s="128">
        <f t="shared" si="1"/>
        <v>0.25396093654631824</v>
      </c>
      <c r="L40" s="135"/>
      <c r="S40" s="133">
        <v>752.01</v>
      </c>
      <c r="T40" s="133">
        <f>+S40-S39</f>
        <v>162.65999999999997</v>
      </c>
    </row>
    <row r="41" spans="1:20" ht="15.75" customHeight="1">
      <c r="A41" t="s">
        <v>58</v>
      </c>
      <c r="C41" s="129">
        <v>5368.71</v>
      </c>
      <c r="D41" s="130"/>
      <c r="E41" s="131">
        <v>3931.28</v>
      </c>
      <c r="F41" s="131">
        <v>1437.43</v>
      </c>
      <c r="G41" s="148">
        <f t="shared" si="2"/>
        <v>1605.6425000000002</v>
      </c>
      <c r="H41" s="131">
        <f t="shared" si="0"/>
        <v>0.40842740786715781</v>
      </c>
      <c r="I41" s="131">
        <v>3099.65</v>
      </c>
      <c r="J41" s="149">
        <f t="shared" si="3"/>
        <v>2930.9370625000001</v>
      </c>
      <c r="K41" s="131">
        <f t="shared" si="1"/>
        <v>0.25445731097759505</v>
      </c>
      <c r="L41" s="135"/>
      <c r="M41" t="s">
        <v>59</v>
      </c>
      <c r="S41" s="133">
        <v>919.97</v>
      </c>
      <c r="T41" s="133">
        <f>+S41-S40</f>
        <v>167.96000000000004</v>
      </c>
    </row>
    <row r="42" spans="1:20">
      <c r="A42" t="s">
        <v>60</v>
      </c>
      <c r="C42" s="129">
        <v>5604.6</v>
      </c>
      <c r="D42" s="130"/>
      <c r="E42" s="131">
        <v>3931.29</v>
      </c>
      <c r="F42" s="131">
        <v>1600.75</v>
      </c>
      <c r="G42" s="148">
        <f t="shared" si="2"/>
        <v>1768.9625000000001</v>
      </c>
      <c r="H42" s="131">
        <f t="shared" si="0"/>
        <v>0.44996998440715391</v>
      </c>
      <c r="I42" s="131">
        <v>3099.66</v>
      </c>
      <c r="J42" s="149">
        <f t="shared" si="3"/>
        <v>2930.9470624999999</v>
      </c>
      <c r="K42" s="131">
        <f t="shared" si="1"/>
        <v>0.2544566637159813</v>
      </c>
      <c r="L42" s="135"/>
      <c r="S42" s="133">
        <v>1087.9000000000001</v>
      </c>
      <c r="T42" s="133">
        <f>+S42-S41</f>
        <v>167.93000000000006</v>
      </c>
    </row>
    <row r="43" spans="1:20">
      <c r="C43" s="125">
        <v>5750</v>
      </c>
      <c r="D43" s="126"/>
      <c r="E43" s="142">
        <v>4033.98</v>
      </c>
      <c r="F43" s="142">
        <v>1716.02</v>
      </c>
      <c r="G43" s="127">
        <f t="shared" si="2"/>
        <v>1884.2325000000001</v>
      </c>
      <c r="H43" s="128">
        <f t="shared" si="0"/>
        <v>0.46709019380363809</v>
      </c>
      <c r="I43" s="142">
        <v>3181.19</v>
      </c>
      <c r="J43" s="145">
        <f t="shared" si="3"/>
        <v>3012.4770625000001</v>
      </c>
      <c r="K43" s="128">
        <f t="shared" si="1"/>
        <v>0.25322459147045839</v>
      </c>
      <c r="L43" s="135"/>
      <c r="S43" s="133">
        <v>1240.9000000000001</v>
      </c>
      <c r="T43" s="133"/>
    </row>
    <row r="44" spans="1:20">
      <c r="C44" s="125">
        <v>6000</v>
      </c>
      <c r="D44" s="126"/>
      <c r="E44" s="142">
        <v>4210.58</v>
      </c>
      <c r="F44" s="142">
        <v>1789.42</v>
      </c>
      <c r="G44" s="127">
        <f t="shared" si="2"/>
        <v>1957.6325000000002</v>
      </c>
      <c r="H44" s="128">
        <f t="shared" si="0"/>
        <v>0.46493179086966646</v>
      </c>
      <c r="I44" s="142">
        <v>3321.45</v>
      </c>
      <c r="J44" s="128">
        <f t="shared" si="3"/>
        <v>3152.7370624999999</v>
      </c>
      <c r="K44" s="128">
        <f t="shared" si="1"/>
        <v>0.25123449441644619</v>
      </c>
      <c r="L44" s="135"/>
      <c r="S44" s="133">
        <v>1240.9100000000001</v>
      </c>
      <c r="T44" s="133"/>
    </row>
    <row r="45" spans="1:20">
      <c r="C45" s="125">
        <v>6250</v>
      </c>
      <c r="D45" s="126"/>
      <c r="E45" s="142">
        <v>4387.17</v>
      </c>
      <c r="F45" s="142">
        <v>1862.83</v>
      </c>
      <c r="G45" s="127">
        <f t="shared" si="2"/>
        <v>2031.0425</v>
      </c>
      <c r="H45" s="128">
        <f t="shared" si="0"/>
        <v>0.4629504897234436</v>
      </c>
      <c r="I45" s="142">
        <v>3461.66</v>
      </c>
      <c r="J45" s="128">
        <f t="shared" si="3"/>
        <v>3292.9470624999999</v>
      </c>
      <c r="K45" s="128">
        <f t="shared" si="1"/>
        <v>0.24941430067674608</v>
      </c>
      <c r="L45" s="135"/>
      <c r="S45" s="133">
        <v>1408.21</v>
      </c>
      <c r="T45" s="133"/>
    </row>
    <row r="46" spans="1:20">
      <c r="C46" s="125">
        <v>6500</v>
      </c>
      <c r="D46" s="126"/>
      <c r="E46" s="142">
        <v>4563.75</v>
      </c>
      <c r="F46" s="142">
        <v>1936.26</v>
      </c>
      <c r="G46" s="127">
        <f t="shared" si="2"/>
        <v>2104.4724999999999</v>
      </c>
      <c r="H46" s="128">
        <f t="shared" si="0"/>
        <v>0.46112791016159954</v>
      </c>
      <c r="I46" s="142">
        <v>3601.87</v>
      </c>
      <c r="J46" s="145">
        <f t="shared" si="3"/>
        <v>3433.1570624999999</v>
      </c>
      <c r="K46" s="128">
        <f t="shared" si="1"/>
        <v>0.24773331963845524</v>
      </c>
      <c r="L46" s="135"/>
      <c r="S46" s="133">
        <v>1569.05</v>
      </c>
      <c r="T46" s="133">
        <f t="shared" ref="T46:T54" si="4">+S46-S45</f>
        <v>160.83999999999992</v>
      </c>
    </row>
    <row r="47" spans="1:20">
      <c r="C47" s="125">
        <v>6750</v>
      </c>
      <c r="D47" s="126"/>
      <c r="E47" s="142">
        <v>4740.3599999999997</v>
      </c>
      <c r="F47" s="142">
        <v>2009.65</v>
      </c>
      <c r="G47" s="127">
        <f t="shared" si="2"/>
        <v>2177.8625000000002</v>
      </c>
      <c r="H47" s="128">
        <f t="shared" si="0"/>
        <v>0.45942976904707666</v>
      </c>
      <c r="I47" s="142">
        <v>3742.11</v>
      </c>
      <c r="J47" s="145">
        <f t="shared" si="3"/>
        <v>3573.3970625000002</v>
      </c>
      <c r="K47" s="128">
        <f t="shared" si="1"/>
        <v>0.24617601564016223</v>
      </c>
      <c r="L47" s="135"/>
      <c r="S47" s="133">
        <v>1729.84</v>
      </c>
      <c r="T47" s="133">
        <f t="shared" si="4"/>
        <v>160.78999999999996</v>
      </c>
    </row>
    <row r="48" spans="1:20">
      <c r="C48" s="125">
        <v>7000</v>
      </c>
      <c r="D48" s="126"/>
      <c r="E48" s="142">
        <v>4916.9399999999996</v>
      </c>
      <c r="F48" s="142">
        <v>2083.06</v>
      </c>
      <c r="G48" s="127">
        <f t="shared" si="2"/>
        <v>2251.2725</v>
      </c>
      <c r="H48" s="128">
        <f t="shared" si="0"/>
        <v>0.4578604782649372</v>
      </c>
      <c r="I48" s="142">
        <v>3882.34</v>
      </c>
      <c r="J48" s="145">
        <f t="shared" si="3"/>
        <v>3713.6270625000002</v>
      </c>
      <c r="K48" s="128">
        <f t="shared" si="1"/>
        <v>0.24472800918864157</v>
      </c>
      <c r="L48" s="135"/>
      <c r="S48" s="133">
        <v>1890.65</v>
      </c>
      <c r="T48" s="133">
        <f t="shared" si="4"/>
        <v>160.81000000000017</v>
      </c>
    </row>
    <row r="49" spans="1:20">
      <c r="C49" s="125">
        <v>7250</v>
      </c>
      <c r="D49" s="126"/>
      <c r="E49" s="142">
        <v>5093.54</v>
      </c>
      <c r="F49" s="142">
        <v>2156.46</v>
      </c>
      <c r="G49" s="127">
        <f t="shared" si="2"/>
        <v>2324.6725000000001</v>
      </c>
      <c r="H49" s="128">
        <f t="shared" si="0"/>
        <v>0.45639623915783523</v>
      </c>
      <c r="I49" s="142">
        <v>4022.57</v>
      </c>
      <c r="J49" s="145">
        <f t="shared" si="3"/>
        <v>3853.8570625000002</v>
      </c>
      <c r="K49" s="128">
        <f t="shared" si="1"/>
        <v>0.24338337138807187</v>
      </c>
      <c r="L49" s="135"/>
      <c r="S49" s="133">
        <v>2051.46</v>
      </c>
      <c r="T49" s="133">
        <f t="shared" si="4"/>
        <v>160.80999999999995</v>
      </c>
    </row>
    <row r="50" spans="1:20">
      <c r="C50" s="125">
        <v>7500</v>
      </c>
      <c r="D50" s="126"/>
      <c r="E50" s="142">
        <v>5270.14</v>
      </c>
      <c r="F50" s="142">
        <v>2229.87</v>
      </c>
      <c r="G50" s="127">
        <f t="shared" si="2"/>
        <v>2398.0825</v>
      </c>
      <c r="H50" s="128">
        <f t="shared" si="0"/>
        <v>0.45503202950965244</v>
      </c>
      <c r="I50" s="142">
        <v>4162.8100000000004</v>
      </c>
      <c r="J50" s="145">
        <f t="shared" si="3"/>
        <v>3994.0970625000004</v>
      </c>
      <c r="K50" s="128">
        <f t="shared" si="1"/>
        <v>0.24212695250980043</v>
      </c>
      <c r="L50" s="135"/>
      <c r="S50" s="133">
        <v>2212.2800000000002</v>
      </c>
      <c r="T50" s="133">
        <f t="shared" si="4"/>
        <v>160.82000000000016</v>
      </c>
    </row>
    <row r="51" spans="1:20">
      <c r="C51" s="125">
        <v>7750</v>
      </c>
      <c r="D51" s="126"/>
      <c r="E51" s="142">
        <v>5446.73</v>
      </c>
      <c r="F51" s="142">
        <v>2303.27</v>
      </c>
      <c r="G51" s="127">
        <f t="shared" si="2"/>
        <v>2471.4825000000001</v>
      </c>
      <c r="H51" s="128">
        <f t="shared" si="0"/>
        <v>0.45375528069135063</v>
      </c>
      <c r="I51" s="142">
        <v>4303.0200000000004</v>
      </c>
      <c r="J51" s="145">
        <f t="shared" si="3"/>
        <v>4134.3070625</v>
      </c>
      <c r="K51" s="128">
        <f t="shared" si="1"/>
        <v>0.24095612183824044</v>
      </c>
      <c r="L51" s="135"/>
      <c r="S51" s="133">
        <v>2373.09</v>
      </c>
      <c r="T51" s="133">
        <f t="shared" si="4"/>
        <v>160.80999999999995</v>
      </c>
    </row>
    <row r="52" spans="1:20">
      <c r="C52" s="125">
        <v>8000</v>
      </c>
      <c r="D52" s="126"/>
      <c r="E52" s="142">
        <v>5623.33</v>
      </c>
      <c r="F52" s="142">
        <v>2376.67</v>
      </c>
      <c r="G52" s="127">
        <f t="shared" si="2"/>
        <v>2544.8825000000002</v>
      </c>
      <c r="H52" s="128">
        <f t="shared" si="0"/>
        <v>0.45255791497208953</v>
      </c>
      <c r="I52" s="142">
        <v>4443.25</v>
      </c>
      <c r="J52" s="145">
        <f t="shared" si="3"/>
        <v>4274.5370624999996</v>
      </c>
      <c r="K52" s="128">
        <f t="shared" si="1"/>
        <v>0.23985662187707291</v>
      </c>
      <c r="L52" s="135"/>
      <c r="S52" s="133">
        <v>2533.89</v>
      </c>
      <c r="T52" s="133">
        <f t="shared" si="4"/>
        <v>160.79999999999973</v>
      </c>
    </row>
    <row r="53" spans="1:20">
      <c r="A53" t="s">
        <v>61</v>
      </c>
      <c r="C53" s="129">
        <v>8201.82</v>
      </c>
      <c r="D53" s="130"/>
      <c r="E53" s="131">
        <v>5765.88</v>
      </c>
      <c r="F53" s="131">
        <v>2435.94</v>
      </c>
      <c r="G53" s="148">
        <f t="shared" si="2"/>
        <v>2604.1525000000001</v>
      </c>
      <c r="H53" s="131">
        <f t="shared" si="0"/>
        <v>0.45164875092787227</v>
      </c>
      <c r="I53" s="131">
        <v>4556.46</v>
      </c>
      <c r="J53" s="149">
        <f t="shared" si="3"/>
        <v>4387.7470624999996</v>
      </c>
      <c r="K53" s="131">
        <f t="shared" si="1"/>
        <v>0.23901519585908837</v>
      </c>
      <c r="L53" s="135"/>
      <c r="M53" t="s">
        <v>62</v>
      </c>
      <c r="S53" s="133">
        <v>2694.7</v>
      </c>
      <c r="T53" s="133">
        <f t="shared" si="4"/>
        <v>160.80999999999995</v>
      </c>
    </row>
    <row r="54" spans="1:20">
      <c r="A54" t="s">
        <v>63</v>
      </c>
      <c r="C54" s="129">
        <v>8305.6299999999992</v>
      </c>
      <c r="D54" s="130"/>
      <c r="E54" s="131">
        <v>5765.89</v>
      </c>
      <c r="F54" s="131">
        <v>2494.87</v>
      </c>
      <c r="G54" s="148">
        <f t="shared" si="2"/>
        <v>2663.0825</v>
      </c>
      <c r="H54" s="131">
        <f t="shared" si="0"/>
        <v>0.46186841927265343</v>
      </c>
      <c r="I54" s="131">
        <v>4556.46</v>
      </c>
      <c r="J54" s="149">
        <f t="shared" si="3"/>
        <v>4387.7470624999996</v>
      </c>
      <c r="K54" s="131">
        <f t="shared" si="1"/>
        <v>0.23901651566367044</v>
      </c>
      <c r="L54" s="135"/>
      <c r="S54" s="133">
        <v>2829.3</v>
      </c>
      <c r="T54" s="133">
        <f t="shared" si="4"/>
        <v>134.60000000000036</v>
      </c>
    </row>
    <row r="55" spans="1:20">
      <c r="C55" s="125">
        <v>8400</v>
      </c>
      <c r="D55" s="126"/>
      <c r="E55" s="142">
        <v>5831.71</v>
      </c>
      <c r="F55" s="142">
        <v>2499.19</v>
      </c>
      <c r="G55" s="127">
        <v>2568.2800000000002</v>
      </c>
      <c r="H55" s="128">
        <f t="shared" si="0"/>
        <v>0.44039912821453747</v>
      </c>
      <c r="I55" s="142">
        <v>4608.72</v>
      </c>
      <c r="J55" s="145">
        <f t="shared" si="3"/>
        <v>4440.0070624999998</v>
      </c>
      <c r="K55" s="128">
        <f t="shared" si="1"/>
        <v>0.23864405766061758</v>
      </c>
      <c r="L55" s="135"/>
      <c r="S55" s="133">
        <v>2829.31</v>
      </c>
      <c r="T55" s="133">
        <f t="shared" ref="T55:T75" si="5">+S55-S54</f>
        <v>9.9999999997635314E-3</v>
      </c>
    </row>
    <row r="56" spans="1:20">
      <c r="C56" s="125">
        <v>8500</v>
      </c>
      <c r="D56" s="126"/>
      <c r="E56" s="142">
        <v>5901.48</v>
      </c>
      <c r="F56" s="142">
        <v>2598.52</v>
      </c>
      <c r="G56" s="128">
        <f t="shared" si="2"/>
        <v>2766.7325000000001</v>
      </c>
      <c r="H56" s="128">
        <f t="shared" si="0"/>
        <v>0.46882010953184627</v>
      </c>
      <c r="I56" s="142">
        <v>4664.12</v>
      </c>
      <c r="J56" s="128">
        <f t="shared" si="3"/>
        <v>4495.4070624999995</v>
      </c>
      <c r="K56" s="128">
        <f t="shared" si="1"/>
        <v>0.23825768070043452</v>
      </c>
      <c r="L56" s="135"/>
      <c r="S56" s="133">
        <v>2944.05</v>
      </c>
      <c r="T56" s="133">
        <f t="shared" si="5"/>
        <v>114.74000000000024</v>
      </c>
    </row>
    <row r="57" spans="1:20">
      <c r="C57" s="125">
        <v>8750</v>
      </c>
      <c r="D57" s="126"/>
      <c r="E57" s="142">
        <v>6075.84</v>
      </c>
      <c r="F57" s="142">
        <v>2674.77</v>
      </c>
      <c r="G57" s="128">
        <f t="shared" si="2"/>
        <v>2842.9825000000001</v>
      </c>
      <c r="H57" s="128">
        <f t="shared" si="0"/>
        <v>0.46791595894559435</v>
      </c>
      <c r="I57" s="142">
        <v>4802.59</v>
      </c>
      <c r="J57" s="128">
        <f t="shared" si="3"/>
        <v>4633.8770624999997</v>
      </c>
      <c r="K57" s="128">
        <f t="shared" si="1"/>
        <v>0.23732733868897149</v>
      </c>
      <c r="L57" s="135"/>
      <c r="S57" s="133">
        <v>3102.83</v>
      </c>
      <c r="T57" s="133">
        <f t="shared" si="5"/>
        <v>158.77999999999975</v>
      </c>
    </row>
    <row r="58" spans="1:20">
      <c r="C58" s="125">
        <v>9000</v>
      </c>
      <c r="D58" s="126"/>
      <c r="E58" s="142">
        <v>6250.21</v>
      </c>
      <c r="F58" s="142">
        <v>2749.78</v>
      </c>
      <c r="G58" s="127">
        <f t="shared" si="2"/>
        <v>2917.9925000000003</v>
      </c>
      <c r="H58" s="128">
        <f t="shared" si="0"/>
        <v>0.46686311339938985</v>
      </c>
      <c r="I58" s="142">
        <v>4941.03</v>
      </c>
      <c r="J58" s="145">
        <f t="shared" si="3"/>
        <v>4772.3170624999993</v>
      </c>
      <c r="K58" s="128">
        <f t="shared" si="1"/>
        <v>0.23645492511451627</v>
      </c>
      <c r="L58" s="135"/>
      <c r="S58" s="133">
        <v>3261.61</v>
      </c>
      <c r="T58" s="133">
        <f t="shared" si="5"/>
        <v>158.7800000000002</v>
      </c>
    </row>
    <row r="59" spans="1:20">
      <c r="C59" s="125">
        <v>9250</v>
      </c>
      <c r="D59" s="126"/>
      <c r="E59" s="142">
        <v>6424.58</v>
      </c>
      <c r="F59" s="142">
        <v>2825.42</v>
      </c>
      <c r="G59" s="127">
        <f t="shared" si="2"/>
        <v>2993.6325000000002</v>
      </c>
      <c r="H59" s="128">
        <f t="shared" si="0"/>
        <v>0.4659654794554664</v>
      </c>
      <c r="I59" s="142">
        <v>5079.5</v>
      </c>
      <c r="J59" s="145">
        <f t="shared" si="3"/>
        <v>4910.7870624999996</v>
      </c>
      <c r="K59" s="128">
        <f t="shared" si="1"/>
        <v>0.23562519845655283</v>
      </c>
      <c r="L59" s="135"/>
      <c r="S59" s="133">
        <v>3420.4</v>
      </c>
      <c r="T59" s="133">
        <f t="shared" si="5"/>
        <v>158.78999999999996</v>
      </c>
    </row>
    <row r="60" spans="1:20">
      <c r="C60" s="125">
        <v>9500</v>
      </c>
      <c r="D60" s="126"/>
      <c r="E60" s="142">
        <v>6598.95</v>
      </c>
      <c r="F60" s="142">
        <v>2901.05</v>
      </c>
      <c r="G60" s="127">
        <f t="shared" si="2"/>
        <v>3069.2625000000003</v>
      </c>
      <c r="H60" s="128">
        <f t="shared" si="0"/>
        <v>0.46511376809947041</v>
      </c>
      <c r="I60" s="142">
        <v>5217.96</v>
      </c>
      <c r="J60" s="145">
        <f t="shared" si="3"/>
        <v>5049.2470624999996</v>
      </c>
      <c r="K60" s="128">
        <f t="shared" si="1"/>
        <v>0.23484083642094578</v>
      </c>
      <c r="L60" s="135"/>
      <c r="S60" s="133">
        <v>3579.19</v>
      </c>
      <c r="T60" s="133">
        <f t="shared" si="5"/>
        <v>158.78999999999996</v>
      </c>
    </row>
    <row r="61" spans="1:20">
      <c r="C61" s="125">
        <v>9750</v>
      </c>
      <c r="D61" s="126"/>
      <c r="E61" s="142">
        <v>6773.36</v>
      </c>
      <c r="F61" s="142">
        <v>2976.65</v>
      </c>
      <c r="G61" s="127">
        <f t="shared" si="2"/>
        <v>3144.8625000000002</v>
      </c>
      <c r="H61" s="128">
        <f t="shared" si="0"/>
        <v>0.46429873799709453</v>
      </c>
      <c r="I61" s="142">
        <v>5356.47</v>
      </c>
      <c r="J61" s="145">
        <f t="shared" si="3"/>
        <v>5187.7570624999998</v>
      </c>
      <c r="K61" s="128">
        <f t="shared" si="1"/>
        <v>0.23409400024507776</v>
      </c>
      <c r="L61" s="135"/>
      <c r="S61" s="133">
        <v>3737.99</v>
      </c>
      <c r="T61" s="133">
        <f t="shared" si="5"/>
        <v>158.79999999999973</v>
      </c>
    </row>
    <row r="62" spans="1:20" ht="18.75" customHeight="1">
      <c r="C62" s="125">
        <v>10000</v>
      </c>
      <c r="D62" s="126"/>
      <c r="E62" s="142">
        <v>6947.73</v>
      </c>
      <c r="F62" s="142">
        <v>3052.27</v>
      </c>
      <c r="G62" s="127">
        <f t="shared" si="2"/>
        <v>3220.4825000000001</v>
      </c>
      <c r="H62" s="128">
        <f t="shared" si="0"/>
        <v>0.46353017460379148</v>
      </c>
      <c r="I62" s="142">
        <v>5494.43</v>
      </c>
      <c r="J62" s="145">
        <f t="shared" si="3"/>
        <v>5325.7170624999999</v>
      </c>
      <c r="K62" s="128">
        <f t="shared" si="1"/>
        <v>0.23345940868456316</v>
      </c>
      <c r="L62" s="135"/>
      <c r="S62" s="133">
        <v>3896.76</v>
      </c>
      <c r="T62" s="133">
        <f t="shared" si="5"/>
        <v>158.77000000000044</v>
      </c>
    </row>
    <row r="63" spans="1:20">
      <c r="C63" s="125">
        <v>10250</v>
      </c>
      <c r="D63" s="126"/>
      <c r="E63" s="142">
        <v>7122.09</v>
      </c>
      <c r="F63" s="142">
        <v>3128.27</v>
      </c>
      <c r="G63" s="127">
        <f t="shared" si="2"/>
        <v>3296.4825000000001</v>
      </c>
      <c r="H63" s="128">
        <f t="shared" si="0"/>
        <v>0.4628532495377059</v>
      </c>
      <c r="I63" s="142">
        <v>5633.36</v>
      </c>
      <c r="J63" s="145">
        <f t="shared" si="3"/>
        <v>5464.6470624999993</v>
      </c>
      <c r="K63" s="128">
        <f t="shared" si="1"/>
        <v>0.23271861735810706</v>
      </c>
      <c r="L63" s="135"/>
      <c r="S63" s="133">
        <v>4055.54</v>
      </c>
      <c r="T63" s="133">
        <f t="shared" si="5"/>
        <v>158.77999999999975</v>
      </c>
    </row>
    <row r="64" spans="1:20">
      <c r="C64" s="125">
        <v>10500</v>
      </c>
      <c r="D64" s="126"/>
      <c r="E64" s="142">
        <v>7296.46</v>
      </c>
      <c r="F64" s="142">
        <v>3203.54</v>
      </c>
      <c r="G64" s="127">
        <f t="shared" si="2"/>
        <v>3371.7525000000001</v>
      </c>
      <c r="H64" s="128">
        <f t="shared" si="0"/>
        <v>0.46210799483585191</v>
      </c>
      <c r="I64" s="142">
        <v>5771.84</v>
      </c>
      <c r="J64" s="145">
        <f t="shared" si="3"/>
        <v>5603.1270624999997</v>
      </c>
      <c r="K64" s="128">
        <f t="shared" si="1"/>
        <v>0.23207595703944106</v>
      </c>
      <c r="L64" s="135"/>
      <c r="S64" s="133">
        <v>4214.34</v>
      </c>
      <c r="T64" s="133">
        <f t="shared" si="5"/>
        <v>158.80000000000018</v>
      </c>
    </row>
    <row r="65" spans="3:20">
      <c r="C65" s="125">
        <v>10750</v>
      </c>
      <c r="D65" s="126"/>
      <c r="E65" s="142">
        <v>7470.84</v>
      </c>
      <c r="F65" s="142">
        <v>3279.18</v>
      </c>
      <c r="G65" s="127">
        <f t="shared" si="2"/>
        <v>3447.3924999999999</v>
      </c>
      <c r="H65" s="128">
        <f t="shared" si="0"/>
        <v>0.4614464370807031</v>
      </c>
      <c r="I65" s="142">
        <v>5910.3</v>
      </c>
      <c r="J65" s="145">
        <f t="shared" si="3"/>
        <v>5741.5870624999998</v>
      </c>
      <c r="K65" s="128">
        <f t="shared" si="1"/>
        <v>0.23146700203725423</v>
      </c>
      <c r="L65" s="135"/>
      <c r="S65" s="133">
        <v>4373.13</v>
      </c>
      <c r="T65" s="133">
        <f t="shared" si="5"/>
        <v>158.78999999999996</v>
      </c>
    </row>
    <row r="66" spans="3:20">
      <c r="C66" s="125">
        <v>11000</v>
      </c>
      <c r="D66" s="126"/>
      <c r="E66" s="142">
        <v>7645.23</v>
      </c>
      <c r="F66" s="142">
        <v>3354.77</v>
      </c>
      <c r="G66" s="127">
        <f t="shared" si="2"/>
        <v>3522.9825000000001</v>
      </c>
      <c r="H66" s="128">
        <f t="shared" si="0"/>
        <v>0.46080791552379724</v>
      </c>
      <c r="I66" s="142">
        <v>6048.78</v>
      </c>
      <c r="J66" s="145">
        <f t="shared" si="3"/>
        <v>5880.0670624999993</v>
      </c>
      <c r="K66" s="128">
        <f t="shared" si="1"/>
        <v>0.23088421636759138</v>
      </c>
      <c r="L66" s="135"/>
      <c r="S66" s="133">
        <v>4531.8900000000003</v>
      </c>
      <c r="T66" s="133">
        <f t="shared" si="5"/>
        <v>158.76000000000022</v>
      </c>
    </row>
    <row r="67" spans="3:20">
      <c r="C67" s="125">
        <v>11250</v>
      </c>
      <c r="D67" s="126"/>
      <c r="E67" s="142">
        <v>7819.59</v>
      </c>
      <c r="F67" s="142">
        <v>3430.42</v>
      </c>
      <c r="G67" s="127">
        <f t="shared" si="2"/>
        <v>3598.6325000000002</v>
      </c>
      <c r="H67" s="128">
        <f t="shared" si="0"/>
        <v>0.46020731265961518</v>
      </c>
      <c r="I67" s="142">
        <v>6187.25</v>
      </c>
      <c r="J67" s="145">
        <f t="shared" si="3"/>
        <v>6018.5370624999996</v>
      </c>
      <c r="K67" s="128">
        <f t="shared" si="1"/>
        <v>0.230325750774657</v>
      </c>
      <c r="L67" s="135"/>
      <c r="S67" s="133">
        <v>4690.67</v>
      </c>
      <c r="T67" s="133">
        <f t="shared" si="5"/>
        <v>158.77999999999975</v>
      </c>
    </row>
    <row r="68" spans="3:20">
      <c r="C68" s="125">
        <v>11500</v>
      </c>
      <c r="D68" s="126"/>
      <c r="E68" s="142">
        <v>7993.99</v>
      </c>
      <c r="F68" s="142">
        <v>3506.01</v>
      </c>
      <c r="G68" s="127">
        <f t="shared" si="2"/>
        <v>3674.2225000000003</v>
      </c>
      <c r="H68" s="128">
        <f t="shared" si="0"/>
        <v>0.45962310435714837</v>
      </c>
      <c r="I68" s="142">
        <v>6325.71</v>
      </c>
      <c r="J68" s="145">
        <f t="shared" si="3"/>
        <v>6156.9970624999996</v>
      </c>
      <c r="K68" s="128">
        <f t="shared" si="1"/>
        <v>0.2297967519974381</v>
      </c>
      <c r="L68" s="135"/>
      <c r="S68" s="133">
        <v>4849.47</v>
      </c>
      <c r="T68" s="133">
        <f t="shared" si="5"/>
        <v>158.80000000000018</v>
      </c>
    </row>
    <row r="69" spans="3:20">
      <c r="C69" s="125">
        <v>11750</v>
      </c>
      <c r="D69" s="126"/>
      <c r="E69" s="142">
        <v>8168.34</v>
      </c>
      <c r="F69" s="142">
        <v>3581.66</v>
      </c>
      <c r="G69" s="127">
        <f t="shared" si="2"/>
        <v>3749.8724999999999</v>
      </c>
      <c r="H69" s="128">
        <f t="shared" si="0"/>
        <v>0.45907399789920594</v>
      </c>
      <c r="I69" s="142">
        <v>6464.18</v>
      </c>
      <c r="J69" s="145">
        <f t="shared" si="3"/>
        <v>6295.4670624999999</v>
      </c>
      <c r="K69" s="128">
        <f t="shared" si="1"/>
        <v>0.22928440019636798</v>
      </c>
      <c r="L69" s="135"/>
      <c r="S69" s="133">
        <v>5008.26</v>
      </c>
      <c r="T69" s="133">
        <f t="shared" si="5"/>
        <v>158.78999999999996</v>
      </c>
    </row>
    <row r="70" spans="3:20">
      <c r="C70" s="125">
        <v>12000</v>
      </c>
      <c r="D70" s="126"/>
      <c r="E70" s="142">
        <v>8342.7199999999993</v>
      </c>
      <c r="F70" s="142">
        <v>3657.28</v>
      </c>
      <c r="G70" s="127">
        <f t="shared" si="2"/>
        <v>3825.4925000000003</v>
      </c>
      <c r="H70" s="128">
        <f t="shared" si="0"/>
        <v>0.45854259761804311</v>
      </c>
      <c r="I70" s="142">
        <v>6602.64</v>
      </c>
      <c r="J70" s="145">
        <f t="shared" si="3"/>
        <v>6433.9270624999999</v>
      </c>
      <c r="K70" s="128">
        <f t="shared" si="1"/>
        <v>0.22879743506913808</v>
      </c>
      <c r="L70" s="135"/>
      <c r="S70" s="133">
        <v>5167.04</v>
      </c>
      <c r="T70" s="133">
        <f t="shared" si="5"/>
        <v>158.77999999999975</v>
      </c>
    </row>
    <row r="71" spans="3:20">
      <c r="C71" s="125">
        <v>12250</v>
      </c>
      <c r="D71" s="126"/>
      <c r="E71" s="142">
        <v>8517.1</v>
      </c>
      <c r="F71" s="142">
        <v>3732.9</v>
      </c>
      <c r="G71" s="127">
        <f t="shared" si="2"/>
        <v>3901.1125000000002</v>
      </c>
      <c r="H71" s="128">
        <f t="shared" si="0"/>
        <v>0.45803295722722526</v>
      </c>
      <c r="I71" s="142">
        <v>6741.12</v>
      </c>
      <c r="J71" s="145">
        <f t="shared" si="3"/>
        <v>6572.4070624999995</v>
      </c>
      <c r="K71" s="128">
        <f t="shared" si="1"/>
        <v>0.22832806207511958</v>
      </c>
      <c r="L71" s="135"/>
      <c r="S71" s="133">
        <v>5325.82</v>
      </c>
      <c r="T71" s="133">
        <f t="shared" si="5"/>
        <v>158.77999999999975</v>
      </c>
    </row>
    <row r="72" spans="3:20">
      <c r="C72" s="125">
        <v>12500</v>
      </c>
      <c r="D72" s="126"/>
      <c r="E72" s="142">
        <v>8691.4699999999993</v>
      </c>
      <c r="F72" s="142">
        <v>3808.53</v>
      </c>
      <c r="G72" s="127">
        <f t="shared" si="2"/>
        <v>3976.7425000000003</v>
      </c>
      <c r="H72" s="128">
        <f t="shared" si="0"/>
        <v>0.45754544398128288</v>
      </c>
      <c r="I72" s="142">
        <v>6879.57</v>
      </c>
      <c r="J72" s="145">
        <f t="shared" si="3"/>
        <v>6710.8570624999993</v>
      </c>
      <c r="K72" s="128">
        <f t="shared" si="1"/>
        <v>0.22788008674021776</v>
      </c>
      <c r="L72" s="135"/>
      <c r="S72" s="133">
        <v>5484.61</v>
      </c>
      <c r="T72" s="133">
        <f t="shared" si="5"/>
        <v>158.78999999999996</v>
      </c>
    </row>
    <row r="73" spans="3:20">
      <c r="C73" s="125">
        <v>12750</v>
      </c>
      <c r="D73" s="126"/>
      <c r="E73" s="142">
        <v>8865.84</v>
      </c>
      <c r="F73" s="142">
        <v>3884.17</v>
      </c>
      <c r="G73" s="127">
        <f t="shared" si="2"/>
        <v>4052.3825000000002</v>
      </c>
      <c r="H73" s="128">
        <f t="shared" si="0"/>
        <v>0.4570782351136497</v>
      </c>
      <c r="I73" s="142">
        <v>7018.03</v>
      </c>
      <c r="J73" s="145">
        <f t="shared" si="3"/>
        <v>6849.3170624999993</v>
      </c>
      <c r="K73" s="128">
        <f t="shared" si="1"/>
        <v>0.22744860470073913</v>
      </c>
      <c r="L73" s="135"/>
      <c r="S73" s="133">
        <v>5643.39</v>
      </c>
      <c r="T73" s="133">
        <f t="shared" si="5"/>
        <v>158.78000000000065</v>
      </c>
    </row>
    <row r="74" spans="3:20">
      <c r="C74" s="125">
        <v>13000</v>
      </c>
      <c r="D74" s="126"/>
      <c r="E74" s="142">
        <v>9040.2199999999993</v>
      </c>
      <c r="F74" s="142">
        <v>3959.78</v>
      </c>
      <c r="G74" s="127">
        <f t="shared" si="2"/>
        <v>4127.9924999999994</v>
      </c>
      <c r="H74" s="128">
        <f t="shared" si="0"/>
        <v>0.45662522593476707</v>
      </c>
      <c r="I74" s="142">
        <v>7156.5</v>
      </c>
      <c r="J74" s="145">
        <f t="shared" si="3"/>
        <v>6987.7870624999996</v>
      </c>
      <c r="K74" s="128">
        <f t="shared" si="1"/>
        <v>0.22703351660689675</v>
      </c>
      <c r="L74" s="135"/>
      <c r="S74" s="133">
        <v>5802.17</v>
      </c>
      <c r="T74" s="133">
        <f t="shared" si="5"/>
        <v>158.77999999999975</v>
      </c>
    </row>
    <row r="75" spans="3:20">
      <c r="C75" s="125">
        <v>13250</v>
      </c>
      <c r="D75" s="126"/>
      <c r="E75" s="142">
        <v>9214.61</v>
      </c>
      <c r="F75" s="142">
        <v>4035.4</v>
      </c>
      <c r="G75" s="127">
        <f t="shared" si="2"/>
        <v>4203.6124999999993</v>
      </c>
      <c r="H75" s="128">
        <f t="shared" si="0"/>
        <v>0.45618995269468798</v>
      </c>
      <c r="I75" s="142">
        <v>7294.97</v>
      </c>
      <c r="J75" s="145">
        <f t="shared" si="3"/>
        <v>7126.2570624999998</v>
      </c>
      <c r="K75" s="128">
        <f t="shared" si="1"/>
        <v>0.22663497831161605</v>
      </c>
      <c r="L75" s="135"/>
      <c r="S75" s="133">
        <v>5960.96</v>
      </c>
      <c r="T75" s="133">
        <f t="shared" si="5"/>
        <v>158.78999999999996</v>
      </c>
    </row>
    <row r="76" spans="3:20">
      <c r="C76" s="125">
        <v>13500</v>
      </c>
      <c r="D76" s="126"/>
      <c r="E76" s="142">
        <v>9388.98</v>
      </c>
      <c r="F76" s="142">
        <v>4111.0200000000004</v>
      </c>
      <c r="G76" s="127">
        <f t="shared" si="2"/>
        <v>4279.2325000000001</v>
      </c>
      <c r="H76" s="128">
        <f t="shared" si="0"/>
        <v>0.4557718197290867</v>
      </c>
      <c r="I76" s="142">
        <v>7433.45</v>
      </c>
      <c r="J76" s="145">
        <f t="shared" si="3"/>
        <v>7264.7370624999994</v>
      </c>
      <c r="K76" s="128">
        <f t="shared" si="1"/>
        <v>0.22624853152312607</v>
      </c>
      <c r="L76" s="135"/>
      <c r="S76" s="133"/>
      <c r="T76" s="133"/>
    </row>
    <row r="77" spans="3:20">
      <c r="C77" s="125">
        <v>13750</v>
      </c>
      <c r="D77" s="11"/>
      <c r="E77" s="142">
        <v>9563.34</v>
      </c>
      <c r="F77" s="142">
        <v>4186.66</v>
      </c>
      <c r="G77" s="127">
        <f t="shared" si="2"/>
        <v>4354.8724999999995</v>
      </c>
      <c r="H77" s="128">
        <f t="shared" si="0"/>
        <v>0.45537150200662108</v>
      </c>
      <c r="I77" s="142">
        <v>7571.91</v>
      </c>
      <c r="J77" s="145">
        <f t="shared" si="3"/>
        <v>7403.1970624999994</v>
      </c>
      <c r="K77" s="128">
        <f t="shared" si="1"/>
        <v>0.22587745886897259</v>
      </c>
      <c r="L77" s="135"/>
    </row>
    <row r="78" spans="3:20" ht="15" thickBot="1">
      <c r="C78" s="150">
        <v>14000</v>
      </c>
      <c r="D78" s="46"/>
      <c r="E78" s="144">
        <v>9737.73</v>
      </c>
      <c r="F78" s="144">
        <v>4262.2700000000004</v>
      </c>
      <c r="G78" s="127">
        <f t="shared" si="2"/>
        <v>4430.4825000000001</v>
      </c>
      <c r="H78" s="132">
        <f t="shared" si="0"/>
        <v>0.454981037675105</v>
      </c>
      <c r="I78" s="144">
        <v>7710.37</v>
      </c>
      <c r="J78" s="147">
        <f t="shared" si="3"/>
        <v>7541.6570624999995</v>
      </c>
      <c r="K78" s="132">
        <f t="shared" si="1"/>
        <v>0.22552206083964133</v>
      </c>
      <c r="L78" s="135"/>
    </row>
    <row r="79" spans="3:20">
      <c r="C79" s="135"/>
    </row>
  </sheetData>
  <sheetProtection formatRows="0" insertColumns="0" insertRows="0" insertHyperlinks="0" deleteColumns="0" deleteRows="0" selectLockedCells="1"/>
  <pageMargins left="0.7" right="0.7" top="0.75" bottom="0.75" header="0.3" footer="0.3"/>
  <pageSetup paperSize="9" orientation="portrait" r:id="rId1"/>
  <headerFooter>
    <oddFooter>&amp;L_x000D_&amp;1#&amp;"Calibri"&amp;10&amp;K000000 Signe Plus - Diffusion Interne</oddFooter>
  </headerFooter>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E2C41987-2A15-40EA-BDE2-FBC82EBFF103}">
          <x14:formula1>
            <xm:f>IK!$H$52:$H$54</xm:f>
          </x14:formula1>
          <xm:sqref>Q21</xm:sqref>
        </x14:dataValidation>
        <x14:dataValidation type="list" allowBlank="1" showInputMessage="1" showErrorMessage="1" xr:uid="{14C7171A-C98D-4249-95F5-44BE925B5A0E}">
          <x14:formula1>
            <xm:f>IK!$D$52:$D$58</xm:f>
          </x14:formula1>
          <xm:sqref>Q22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5"/>
  <sheetViews>
    <sheetView topLeftCell="A66" zoomScale="90" zoomScaleNormal="90" workbookViewId="0">
      <selection activeCell="K71" sqref="K71"/>
    </sheetView>
  </sheetViews>
  <sheetFormatPr defaultColWidth="11.42578125" defaultRowHeight="14.45"/>
  <cols>
    <col min="2" max="2" width="5.85546875" customWidth="1"/>
    <col min="3" max="3" width="25.85546875" customWidth="1"/>
    <col min="4" max="4" width="16.140625" customWidth="1"/>
    <col min="5" max="5" width="22.140625" bestFit="1" customWidth="1"/>
    <col min="6" max="6" width="16.85546875" customWidth="1"/>
    <col min="7" max="7" width="21.42578125" bestFit="1" customWidth="1"/>
    <col min="8" max="8" width="19.140625" customWidth="1"/>
    <col min="9" max="9" width="18.5703125" customWidth="1"/>
    <col min="15" max="15" width="19.140625" customWidth="1"/>
  </cols>
  <sheetData>
    <row r="1" spans="2:13">
      <c r="B1" t="s">
        <v>0</v>
      </c>
      <c r="C1" t="str">
        <f>'a remplir'!C1</f>
        <v>Consultant Christian</v>
      </c>
    </row>
    <row r="2" spans="2:13">
      <c r="B2" t="str">
        <f>'a remplir'!B3:C3</f>
        <v>mois</v>
      </c>
      <c r="C2" s="7">
        <f>'a remplir'!C3</f>
        <v>0</v>
      </c>
    </row>
    <row r="4" spans="2:13">
      <c r="B4" t="s">
        <v>64</v>
      </c>
      <c r="E4" s="7"/>
      <c r="F4">
        <f>'a remplir'!H5</f>
        <v>120</v>
      </c>
      <c r="I4" t="s">
        <v>65</v>
      </c>
      <c r="J4" t="s">
        <v>66</v>
      </c>
      <c r="K4" t="s">
        <v>67</v>
      </c>
      <c r="L4" t="s">
        <v>40</v>
      </c>
      <c r="M4" t="s">
        <v>68</v>
      </c>
    </row>
    <row r="5" spans="2:13">
      <c r="B5" t="s">
        <v>69</v>
      </c>
      <c r="F5">
        <f>'a remplir'!H6</f>
        <v>228</v>
      </c>
      <c r="H5" t="s">
        <v>13</v>
      </c>
      <c r="I5">
        <f>'a remplir'!J6</f>
        <v>0</v>
      </c>
      <c r="J5">
        <f>'a remplir'!K6</f>
        <v>34.191359999999996</v>
      </c>
      <c r="K5">
        <f>'a remplir'!L6</f>
        <v>0</v>
      </c>
      <c r="M5" s="52">
        <f>'a remplir'!M6</f>
        <v>0</v>
      </c>
    </row>
    <row r="6" spans="2:13">
      <c r="B6" s="8" t="str">
        <f>+'a remplir'!B8</f>
        <v>salaire de base</v>
      </c>
    </row>
    <row r="8" spans="2:13">
      <c r="B8" t="s">
        <v>27</v>
      </c>
      <c r="F8">
        <f>'a remplir'!H20</f>
        <v>1000</v>
      </c>
    </row>
    <row r="9" spans="2:13">
      <c r="B9" t="s">
        <v>38</v>
      </c>
      <c r="F9">
        <f>F4*F8</f>
        <v>120000</v>
      </c>
    </row>
    <row r="10" spans="2:13">
      <c r="C10" s="1" t="s">
        <v>39</v>
      </c>
      <c r="F10">
        <f>'a remplir'!H27</f>
        <v>0</v>
      </c>
    </row>
    <row r="11" spans="2:13">
      <c r="E11" t="s">
        <v>40</v>
      </c>
      <c r="F11">
        <f>F10+F9</f>
        <v>120000</v>
      </c>
    </row>
    <row r="12" spans="2:13">
      <c r="C12" s="1" t="s">
        <v>28</v>
      </c>
      <c r="E12" s="13">
        <f>'a remplir'!H21</f>
        <v>0.05</v>
      </c>
      <c r="F12">
        <f>(F9+F10)*E12</f>
        <v>6000</v>
      </c>
    </row>
    <row r="13" spans="2:13">
      <c r="C13" s="1" t="s">
        <v>31</v>
      </c>
      <c r="E13" s="13"/>
      <c r="F13">
        <f>'a remplir'!H30</f>
        <v>0</v>
      </c>
    </row>
    <row r="14" spans="2:13">
      <c r="C14" s="1" t="s">
        <v>41</v>
      </c>
      <c r="F14">
        <f>L14+M14</f>
        <v>4102.9631999999992</v>
      </c>
      <c r="I14">
        <f>I5*F5</f>
        <v>0</v>
      </c>
      <c r="J14">
        <f>J5*F4</f>
        <v>4102.9631999999992</v>
      </c>
      <c r="K14">
        <f>K5</f>
        <v>0</v>
      </c>
      <c r="L14">
        <f>J14+I14+K14</f>
        <v>4102.9631999999992</v>
      </c>
      <c r="M14">
        <f>M5</f>
        <v>0</v>
      </c>
    </row>
    <row r="15" spans="2:13">
      <c r="B15" s="2" t="s">
        <v>42</v>
      </c>
      <c r="C15" s="2"/>
      <c r="D15" s="2"/>
      <c r="E15" s="2"/>
      <c r="F15" s="2">
        <f>F11-F12-F14-F13</f>
        <v>109897.0368</v>
      </c>
      <c r="G15" s="2"/>
      <c r="H15">
        <f>F14+F15</f>
        <v>114000</v>
      </c>
    </row>
    <row r="16" spans="2:13" ht="15" thickBot="1"/>
    <row r="17" spans="2:12">
      <c r="B17" s="10" t="s">
        <v>70</v>
      </c>
      <c r="C17" s="14"/>
      <c r="D17" s="14"/>
      <c r="E17" s="14" t="s">
        <v>71</v>
      </c>
      <c r="F17" s="24">
        <f>C2</f>
        <v>0</v>
      </c>
      <c r="G17" s="7"/>
    </row>
    <row r="18" spans="2:12">
      <c r="B18" s="12"/>
      <c r="C18" t="s">
        <v>72</v>
      </c>
      <c r="E18" s="9">
        <f>'a remplir'!H8</f>
        <v>2374</v>
      </c>
      <c r="F18" s="23">
        <f>E18*12</f>
        <v>28488</v>
      </c>
      <c r="G18" s="9"/>
    </row>
    <row r="19" spans="2:12">
      <c r="B19" s="12"/>
      <c r="C19" t="s">
        <v>73</v>
      </c>
      <c r="E19" s="9">
        <f>E18*0.05</f>
        <v>118.7</v>
      </c>
      <c r="F19" s="23">
        <f>F18*0.05</f>
        <v>1424.4</v>
      </c>
      <c r="G19" s="9"/>
    </row>
    <row r="20" spans="2:12">
      <c r="B20" s="12"/>
      <c r="C20" t="s">
        <v>74</v>
      </c>
      <c r="E20" s="9">
        <f>E18*0.1</f>
        <v>237.4</v>
      </c>
      <c r="F20" s="23">
        <f>F18*0.1</f>
        <v>2848.8</v>
      </c>
      <c r="G20" s="9"/>
    </row>
    <row r="21" spans="2:12">
      <c r="B21" s="12"/>
      <c r="C21" t="s">
        <v>75</v>
      </c>
      <c r="E21" s="9">
        <f>(E18+E19+E20)*0.1</f>
        <v>273.01</v>
      </c>
      <c r="F21" s="23">
        <f>(F18+F19+F20)*0.1</f>
        <v>3276.1200000000003</v>
      </c>
      <c r="G21" s="9"/>
    </row>
    <row r="22" spans="2:12">
      <c r="B22" s="12"/>
      <c r="C22" t="s">
        <v>76</v>
      </c>
      <c r="E22" s="9">
        <f>SUM(E18:E21)</f>
        <v>3003.1099999999997</v>
      </c>
      <c r="F22" s="23">
        <f>SUM(F18:F21)</f>
        <v>36037.32</v>
      </c>
      <c r="G22" s="9"/>
      <c r="I22" t="s">
        <v>77</v>
      </c>
    </row>
    <row r="23" spans="2:12" ht="15" thickBot="1">
      <c r="B23" s="22" t="s">
        <v>78</v>
      </c>
      <c r="E23" s="9">
        <f>F23/12</f>
        <v>2914.7728171963918</v>
      </c>
      <c r="F23" s="26">
        <f>L30*I23</f>
        <v>34977.273806356701</v>
      </c>
      <c r="G23" s="55"/>
      <c r="I23">
        <f>'a remplir'!N38</f>
        <v>0.46686311339938985</v>
      </c>
    </row>
    <row r="24" spans="2:12" ht="15" thickBot="1">
      <c r="B24" s="3" t="s">
        <v>79</v>
      </c>
      <c r="C24" s="4"/>
      <c r="D24" s="4"/>
      <c r="E24" s="82">
        <f>F24/12</f>
        <v>5917.8828171963914</v>
      </c>
      <c r="F24" s="27">
        <f>F23+F22</f>
        <v>71014.593806356701</v>
      </c>
      <c r="G24" s="56"/>
      <c r="I24" s="5"/>
    </row>
    <row r="26" spans="2:12">
      <c r="B26" t="s">
        <v>80</v>
      </c>
      <c r="E26" s="30">
        <f>F15/(1+I23)</f>
        <v>74919.762993643293</v>
      </c>
    </row>
    <row r="27" spans="2:12">
      <c r="B27" s="1" t="s">
        <v>81</v>
      </c>
      <c r="E27" s="29">
        <f>E26-F22</f>
        <v>38882.442993643293</v>
      </c>
    </row>
    <row r="28" spans="2:12">
      <c r="B28" t="s">
        <v>82</v>
      </c>
      <c r="E28" s="5"/>
    </row>
    <row r="29" spans="2:12">
      <c r="C29" s="25">
        <f>E27/115.5*100</f>
        <v>33664.452808349168</v>
      </c>
      <c r="D29" t="s">
        <v>83</v>
      </c>
      <c r="I29" t="s">
        <v>84</v>
      </c>
      <c r="J29" t="s">
        <v>85</v>
      </c>
      <c r="L29" t="s">
        <v>76</v>
      </c>
    </row>
    <row r="30" spans="2:12">
      <c r="C30" s="25">
        <f>E27/115.5*5</f>
        <v>1683.2226404174585</v>
      </c>
      <c r="D30" t="s">
        <v>86</v>
      </c>
      <c r="I30" s="5">
        <f>C29+C30</f>
        <v>35347.675448766626</v>
      </c>
      <c r="J30" s="5">
        <f>C31</f>
        <v>3534.7675448766622</v>
      </c>
      <c r="L30" s="9">
        <f>+I30+F22+C31</f>
        <v>74919.762993643293</v>
      </c>
    </row>
    <row r="31" spans="2:12">
      <c r="C31" s="28">
        <f>(C29+C30)*10/100</f>
        <v>3534.7675448766622</v>
      </c>
      <c r="D31" t="s">
        <v>87</v>
      </c>
    </row>
    <row r="32" spans="2:12">
      <c r="C32" s="28"/>
    </row>
    <row r="33" spans="1:13" ht="66" customHeight="1">
      <c r="A33" s="90">
        <v>2</v>
      </c>
      <c r="B33" s="71"/>
      <c r="C33" s="71"/>
      <c r="D33" s="91" t="s">
        <v>88</v>
      </c>
      <c r="E33" s="91"/>
      <c r="F33" s="91"/>
      <c r="G33" s="92" t="str">
        <f>'a remplir'!C1</f>
        <v>Consultant Christian</v>
      </c>
      <c r="H33" s="71"/>
      <c r="I33" s="121"/>
      <c r="J33" s="121"/>
      <c r="K33" s="121"/>
      <c r="L33" s="121"/>
      <c r="M33" s="121"/>
    </row>
    <row r="34" spans="1:13" ht="24.75" customHeight="1">
      <c r="A34" s="62"/>
      <c r="B34" s="62"/>
      <c r="C34" s="72"/>
      <c r="D34" s="72"/>
      <c r="E34" s="72"/>
      <c r="F34" s="74" t="s">
        <v>89</v>
      </c>
      <c r="G34" s="74" t="s">
        <v>90</v>
      </c>
      <c r="I34" s="121"/>
      <c r="J34" s="121"/>
      <c r="K34" s="121"/>
      <c r="L34" s="121"/>
      <c r="M34" s="121"/>
    </row>
    <row r="35" spans="1:13" ht="15" thickBot="1">
      <c r="A35" s="62"/>
      <c r="B35" s="62"/>
      <c r="C35" s="62"/>
      <c r="D35" s="75"/>
      <c r="E35" s="62"/>
      <c r="F35" s="74">
        <v>228</v>
      </c>
      <c r="G35" s="74">
        <f>'a remplir'!H9</f>
        <v>10</v>
      </c>
      <c r="H35" s="73"/>
      <c r="I35" s="121"/>
      <c r="J35" s="121"/>
      <c r="K35" s="121"/>
      <c r="L35" s="121"/>
      <c r="M35" s="121"/>
    </row>
    <row r="36" spans="1:13">
      <c r="A36" s="62"/>
      <c r="B36" s="62"/>
      <c r="C36" s="107"/>
      <c r="D36" s="108"/>
      <c r="E36" s="108"/>
      <c r="F36" s="109"/>
      <c r="G36" s="109"/>
      <c r="H36" s="110" t="s">
        <v>91</v>
      </c>
      <c r="I36" s="121"/>
      <c r="J36" s="121"/>
      <c r="K36" s="121"/>
      <c r="L36" s="121"/>
      <c r="M36" s="121"/>
    </row>
    <row r="37" spans="1:13">
      <c r="A37" s="62"/>
      <c r="B37" s="62"/>
      <c r="C37" s="111" t="s">
        <v>92</v>
      </c>
      <c r="D37" s="62"/>
      <c r="E37" s="62"/>
      <c r="F37" s="98">
        <f>F18</f>
        <v>28488</v>
      </c>
      <c r="G37" s="98">
        <f>(F37/12)*'a remplir'!H7/5</f>
        <v>2374</v>
      </c>
      <c r="H37" s="112"/>
      <c r="I37" s="121"/>
      <c r="J37" s="121"/>
      <c r="K37" s="121"/>
      <c r="L37" s="121"/>
      <c r="M37" s="121"/>
    </row>
    <row r="38" spans="1:13">
      <c r="A38" s="62"/>
      <c r="B38" s="62"/>
      <c r="C38" s="111" t="s">
        <v>73</v>
      </c>
      <c r="D38" s="62"/>
      <c r="E38" s="62"/>
      <c r="F38" s="98">
        <f>C30+F19</f>
        <v>3107.6226404174586</v>
      </c>
      <c r="G38" s="98">
        <f>(F38/12)*'a remplir'!H7/5</f>
        <v>258.96855336812155</v>
      </c>
      <c r="H38" s="112"/>
      <c r="I38" s="121"/>
      <c r="J38" s="121"/>
      <c r="K38" s="121"/>
      <c r="L38" s="121"/>
      <c r="M38" s="121"/>
    </row>
    <row r="39" spans="1:13">
      <c r="A39" s="62"/>
      <c r="B39" s="62"/>
      <c r="C39" s="111" t="s">
        <v>74</v>
      </c>
      <c r="D39" s="62"/>
      <c r="E39" s="62"/>
      <c r="F39" s="99">
        <f>F20</f>
        <v>2848.8</v>
      </c>
      <c r="G39" s="98">
        <f>(F39/12)*'a remplir'!H7/5</f>
        <v>237.4</v>
      </c>
      <c r="H39" s="112"/>
      <c r="I39" s="121"/>
      <c r="J39" s="121"/>
      <c r="K39" s="121"/>
      <c r="L39" s="121"/>
      <c r="M39" s="121"/>
    </row>
    <row r="40" spans="1:13">
      <c r="A40" s="62"/>
      <c r="B40" s="62"/>
      <c r="C40" s="111" t="s">
        <v>93</v>
      </c>
      <c r="D40" s="62"/>
      <c r="E40" s="62"/>
      <c r="F40" s="98">
        <f>C29</f>
        <v>33664.452808349168</v>
      </c>
      <c r="G40" s="98">
        <f>(F40/12)*'a remplir'!H7/5</f>
        <v>2805.3710673624305</v>
      </c>
      <c r="H40" s="112"/>
      <c r="I40" s="121"/>
      <c r="J40" s="121"/>
      <c r="K40" s="121"/>
      <c r="L40" s="121"/>
      <c r="M40" s="121"/>
    </row>
    <row r="41" spans="1:13" ht="15" thickBot="1">
      <c r="A41" s="62"/>
      <c r="B41" s="62"/>
      <c r="C41" s="111" t="s">
        <v>94</v>
      </c>
      <c r="D41" s="62"/>
      <c r="E41" s="62"/>
      <c r="F41" s="98">
        <f>C31+F21</f>
        <v>6810.887544876663</v>
      </c>
      <c r="G41" s="98">
        <f>(F41/12)*'a remplir'!H7/5</f>
        <v>567.57396207305521</v>
      </c>
      <c r="H41" s="112"/>
      <c r="I41" s="121"/>
      <c r="J41" s="121"/>
      <c r="K41" s="121"/>
      <c r="L41" s="121"/>
      <c r="M41" s="121"/>
    </row>
    <row r="42" spans="1:13" ht="15" thickBot="1">
      <c r="A42" s="62"/>
      <c r="B42" s="62"/>
      <c r="C42" s="113"/>
      <c r="D42" s="38" t="s">
        <v>95</v>
      </c>
      <c r="E42" s="76"/>
      <c r="F42" s="100">
        <f>SUM(F37:F41)</f>
        <v>74919.762993643293</v>
      </c>
      <c r="G42" s="100">
        <f>(F42/12)*'a remplir'!H7/5</f>
        <v>6243.3135828036075</v>
      </c>
      <c r="H42" s="114"/>
      <c r="I42" s="121"/>
      <c r="J42" s="121"/>
      <c r="K42" s="121"/>
      <c r="L42" s="121"/>
      <c r="M42" s="121"/>
    </row>
    <row r="43" spans="1:13" ht="15" thickBot="1">
      <c r="A43" s="62"/>
      <c r="B43" s="62"/>
      <c r="C43" s="111"/>
      <c r="D43" s="62"/>
      <c r="E43" s="62"/>
      <c r="F43" s="31"/>
      <c r="G43" s="63"/>
      <c r="H43" s="112"/>
      <c r="I43" s="121"/>
      <c r="J43" s="121"/>
      <c r="K43" s="121"/>
      <c r="L43" s="121"/>
      <c r="M43" s="121"/>
    </row>
    <row r="44" spans="1:13" ht="15" thickBot="1">
      <c r="A44" s="62"/>
      <c r="B44" s="62"/>
      <c r="C44" s="115" t="s">
        <v>96</v>
      </c>
      <c r="D44" s="39" t="s">
        <v>97</v>
      </c>
      <c r="E44" s="39">
        <f>'a remplir'!O38</f>
        <v>0.23562519845655283</v>
      </c>
      <c r="F44" s="101">
        <f>F42*E44</f>
        <v>17652.984023695102</v>
      </c>
      <c r="G44" s="102">
        <f>(F44/12)*'a remplir'!H7/5</f>
        <v>1471.0820019745918</v>
      </c>
      <c r="H44" s="116">
        <f>F42*I23</f>
        <v>34977.273806356701</v>
      </c>
      <c r="I44" s="121"/>
      <c r="J44" s="121"/>
      <c r="K44" s="121"/>
      <c r="L44" s="121"/>
      <c r="M44" s="122"/>
    </row>
    <row r="45" spans="1:13">
      <c r="A45" s="62"/>
      <c r="B45" s="62"/>
      <c r="C45" s="111"/>
      <c r="D45" s="62"/>
      <c r="E45" s="62"/>
      <c r="F45" s="66"/>
      <c r="G45" s="63"/>
      <c r="H45" s="112"/>
      <c r="I45" s="121"/>
      <c r="J45" s="121"/>
      <c r="K45" s="121"/>
      <c r="L45" s="121"/>
      <c r="M45" s="121"/>
    </row>
    <row r="46" spans="1:13">
      <c r="A46" s="62"/>
      <c r="B46" s="62"/>
      <c r="C46" s="111"/>
      <c r="D46" s="62" t="s">
        <v>98</v>
      </c>
      <c r="E46" s="62"/>
      <c r="F46" s="98">
        <f>F14</f>
        <v>4102.9631999999992</v>
      </c>
      <c r="G46" s="98">
        <f>(F46/12)*'a remplir'!$H7/5</f>
        <v>341.91359999999992</v>
      </c>
      <c r="H46" s="112"/>
      <c r="I46" s="121"/>
      <c r="J46" s="121"/>
      <c r="K46" s="121"/>
      <c r="L46" s="121"/>
      <c r="M46" s="121"/>
    </row>
    <row r="47" spans="1:13">
      <c r="A47" s="62"/>
      <c r="B47" s="62"/>
      <c r="C47" s="111"/>
      <c r="D47" s="62"/>
      <c r="E47" s="62"/>
      <c r="F47" s="66"/>
      <c r="G47" s="63"/>
      <c r="H47" s="117" t="s">
        <v>99</v>
      </c>
      <c r="I47" s="121"/>
      <c r="J47" s="121"/>
      <c r="K47" s="121"/>
      <c r="L47" s="121"/>
      <c r="M47" s="121"/>
    </row>
    <row r="48" spans="1:13" ht="15" thickBot="1">
      <c r="A48" s="62"/>
      <c r="B48" s="62"/>
      <c r="C48" s="182" t="s">
        <v>100</v>
      </c>
      <c r="D48" s="183"/>
      <c r="E48" s="183"/>
      <c r="F48" s="103">
        <f>F42-F44+F46</f>
        <v>61369.742169948193</v>
      </c>
      <c r="G48" s="103">
        <f>(F48/12)*'a remplir'!H7/5</f>
        <v>5114.1451808290158</v>
      </c>
      <c r="H48" s="118">
        <f>F42+H44+F46</f>
        <v>114000</v>
      </c>
      <c r="I48" s="121" t="s">
        <v>101</v>
      </c>
      <c r="J48" s="121"/>
      <c r="K48" s="121"/>
      <c r="L48" s="121"/>
      <c r="M48" s="121"/>
    </row>
    <row r="49" spans="1:18" ht="15" thickBot="1">
      <c r="A49" s="62"/>
      <c r="B49" s="62"/>
      <c r="C49" s="184" t="s">
        <v>102</v>
      </c>
      <c r="D49" s="185"/>
      <c r="E49" s="185"/>
      <c r="F49" s="119">
        <f>IF('a remplir'!$E$10="oui",calcul!F48+('a remplir'!$H$5*'a remplir'!$H$12),0)</f>
        <v>0</v>
      </c>
      <c r="G49" s="119">
        <f>(F49/12)*'a remplir'!H7/5</f>
        <v>0</v>
      </c>
      <c r="H49" s="120">
        <f>IF(F49=0,0,H48)</f>
        <v>0</v>
      </c>
      <c r="I49" s="121" t="s">
        <v>103</v>
      </c>
      <c r="J49" s="121"/>
      <c r="K49" s="121"/>
      <c r="L49" s="121"/>
      <c r="M49" s="123"/>
    </row>
    <row r="50" spans="1:18" ht="15" thickBot="1">
      <c r="A50" s="62"/>
      <c r="B50" s="62"/>
      <c r="C50" s="62"/>
      <c r="D50" s="62"/>
      <c r="E50" s="62"/>
      <c r="F50" s="78"/>
      <c r="G50" s="78"/>
      <c r="H50" s="79"/>
      <c r="I50" s="121"/>
      <c r="J50" s="121"/>
      <c r="K50" s="121"/>
      <c r="L50" s="121"/>
      <c r="M50" s="121"/>
    </row>
    <row r="51" spans="1:18" ht="66" customHeight="1" thickBot="1">
      <c r="A51" s="90">
        <v>1</v>
      </c>
      <c r="B51" s="91"/>
      <c r="C51" s="91"/>
      <c r="D51" s="91" t="s">
        <v>104</v>
      </c>
      <c r="E51" s="91"/>
      <c r="F51" s="91"/>
      <c r="G51" s="92" t="str">
        <f>'a remplir'!C1</f>
        <v>Consultant Christian</v>
      </c>
      <c r="H51" s="93"/>
      <c r="J51" s="5"/>
      <c r="O51" s="19" t="s">
        <v>47</v>
      </c>
      <c r="P51" s="53" t="s">
        <v>105</v>
      </c>
      <c r="Q51" s="53" t="s">
        <v>106</v>
      </c>
      <c r="R51" s="19" t="s">
        <v>95</v>
      </c>
    </row>
    <row r="52" spans="1:18" ht="24.75" customHeight="1" thickBot="1">
      <c r="A52" s="62"/>
      <c r="B52" s="62"/>
      <c r="C52" s="72"/>
      <c r="D52" s="72"/>
      <c r="E52" s="72"/>
      <c r="F52" s="74" t="s">
        <v>89</v>
      </c>
      <c r="G52" s="74" t="s">
        <v>90</v>
      </c>
      <c r="H52" s="62"/>
      <c r="O52" s="20"/>
      <c r="P52" s="181" t="s">
        <v>107</v>
      </c>
      <c r="Q52" s="190"/>
      <c r="R52" s="19"/>
    </row>
    <row r="53" spans="1:18" ht="15" thickBot="1">
      <c r="A53" s="62"/>
      <c r="B53" s="62"/>
      <c r="C53" s="62"/>
      <c r="D53" s="75"/>
      <c r="E53" s="62"/>
      <c r="F53" s="74">
        <v>228</v>
      </c>
      <c r="G53" s="74">
        <f>'a remplir'!H9</f>
        <v>10</v>
      </c>
      <c r="H53" s="73"/>
      <c r="O53" s="19">
        <f>'a remplir'!C39</f>
        <v>5000</v>
      </c>
      <c r="P53" s="19">
        <f>'a remplir'!H39</f>
        <v>0.40944202789860512</v>
      </c>
      <c r="Q53" s="19">
        <f>'a remplir'!K39</f>
        <v>0.25615799323670174</v>
      </c>
      <c r="R53" s="20">
        <f>'a remplir'!E39</f>
        <v>3666.85</v>
      </c>
    </row>
    <row r="54" spans="1:18">
      <c r="A54" s="62"/>
      <c r="B54" s="62"/>
      <c r="C54" s="57"/>
      <c r="D54" s="58"/>
      <c r="E54" s="58"/>
      <c r="F54" s="59"/>
      <c r="G54" s="59"/>
      <c r="H54" s="60" t="s">
        <v>91</v>
      </c>
      <c r="K54" t="s">
        <v>108</v>
      </c>
      <c r="O54" s="20">
        <f>'a remplir'!C40</f>
        <v>5250</v>
      </c>
      <c r="P54" s="20">
        <f>'a remplir'!H40</f>
        <v>0.40725116292358082</v>
      </c>
      <c r="Q54" s="20">
        <f>'a remplir'!K40</f>
        <v>0.25396093654631824</v>
      </c>
      <c r="R54" s="20">
        <f>'a remplir'!E40</f>
        <v>3850.21</v>
      </c>
    </row>
    <row r="55" spans="1:18">
      <c r="A55" s="62"/>
      <c r="B55" s="62"/>
      <c r="C55" s="61" t="s">
        <v>92</v>
      </c>
      <c r="D55" s="62"/>
      <c r="E55" s="62"/>
      <c r="F55" s="98">
        <f>F37</f>
        <v>28488</v>
      </c>
      <c r="G55" s="98">
        <f>(F55/12)*'a remplir'!H7/5</f>
        <v>2374</v>
      </c>
      <c r="H55" s="64"/>
      <c r="O55" s="20">
        <f>'a remplir'!C41</f>
        <v>5368.71</v>
      </c>
      <c r="P55" s="20">
        <f>'a remplir'!H41</f>
        <v>0.40842740786715781</v>
      </c>
      <c r="Q55" s="20">
        <f>'a remplir'!K41</f>
        <v>0.25445731097759505</v>
      </c>
      <c r="R55" s="20">
        <f>'a remplir'!E41</f>
        <v>3931.28</v>
      </c>
    </row>
    <row r="56" spans="1:18">
      <c r="A56" s="62"/>
      <c r="B56" s="62"/>
      <c r="C56" s="61" t="s">
        <v>73</v>
      </c>
      <c r="D56" s="62"/>
      <c r="E56" s="62"/>
      <c r="F56" s="98">
        <f>F38</f>
        <v>3107.6226404174586</v>
      </c>
      <c r="G56" s="98">
        <f>(F56/12)*'a remplir'!H7/5</f>
        <v>258.96855336812155</v>
      </c>
      <c r="H56" s="64"/>
      <c r="O56" s="20">
        <f>'a remplir'!C42</f>
        <v>5604.6</v>
      </c>
      <c r="P56" s="20">
        <f>'a remplir'!H42</f>
        <v>0.44996998440715391</v>
      </c>
      <c r="Q56" s="20">
        <f>'a remplir'!K42</f>
        <v>0.2544566637159813</v>
      </c>
      <c r="R56" s="20">
        <f>'a remplir'!E42</f>
        <v>3931.29</v>
      </c>
    </row>
    <row r="57" spans="1:18" ht="15" thickBot="1">
      <c r="A57" s="62"/>
      <c r="B57" s="62"/>
      <c r="C57" s="61" t="s">
        <v>74</v>
      </c>
      <c r="D57" s="62"/>
      <c r="E57" s="62"/>
      <c r="F57" s="99">
        <v>0</v>
      </c>
      <c r="G57" s="98">
        <f>(F57/12)*'a remplir'!H7/5</f>
        <v>0</v>
      </c>
      <c r="H57" s="64"/>
      <c r="O57" s="20">
        <f>'a remplir'!C43</f>
        <v>5750</v>
      </c>
      <c r="P57" s="20">
        <f>'a remplir'!H43</f>
        <v>0.46709019380363809</v>
      </c>
      <c r="Q57" s="20">
        <f>'a remplir'!K43</f>
        <v>0.25322459147045839</v>
      </c>
      <c r="R57" s="20">
        <f>'a remplir'!E43</f>
        <v>4033.98</v>
      </c>
    </row>
    <row r="58" spans="1:18">
      <c r="A58" s="62"/>
      <c r="B58" s="62"/>
      <c r="C58" s="61" t="s">
        <v>93</v>
      </c>
      <c r="D58" s="62"/>
      <c r="E58" s="62"/>
      <c r="F58" s="98">
        <f>F40</f>
        <v>33664.452808349168</v>
      </c>
      <c r="G58" s="98">
        <f>(F58/12)*'a remplir'!H7/5</f>
        <v>2805.3710673624305</v>
      </c>
      <c r="H58" s="64"/>
      <c r="J58" s="10" t="s">
        <v>95</v>
      </c>
      <c r="K58" s="14"/>
      <c r="L58" s="45">
        <f>F60/12</f>
        <v>5982.1735828036071</v>
      </c>
      <c r="O58" s="20">
        <f>'a remplir'!C44</f>
        <v>6000</v>
      </c>
      <c r="P58" s="20">
        <f>'a remplir'!H44</f>
        <v>0.46493179086966646</v>
      </c>
      <c r="Q58" s="20">
        <f>'a remplir'!K44</f>
        <v>0.25123449441644619</v>
      </c>
      <c r="R58" s="20">
        <f>'a remplir'!E44</f>
        <v>4210.58</v>
      </c>
    </row>
    <row r="59" spans="1:18" ht="15" thickBot="1">
      <c r="A59" s="62"/>
      <c r="B59" s="62"/>
      <c r="C59" s="61" t="s">
        <v>94</v>
      </c>
      <c r="D59" s="62"/>
      <c r="E59" s="62"/>
      <c r="F59" s="98">
        <f>(F55+F56+F58)*0.1</f>
        <v>6526.0075448766629</v>
      </c>
      <c r="G59" s="98">
        <f>(F59/12)*'a remplir'!H7/5</f>
        <v>543.8339620730552</v>
      </c>
      <c r="H59" s="64"/>
      <c r="J59" s="12"/>
      <c r="L59" s="11"/>
      <c r="O59" s="20">
        <f>'a remplir'!C45</f>
        <v>6250</v>
      </c>
      <c r="P59" s="20">
        <f>'a remplir'!H45</f>
        <v>0.4629504897234436</v>
      </c>
      <c r="Q59" s="20">
        <f>'a remplir'!K45</f>
        <v>0.24941430067674608</v>
      </c>
      <c r="R59" s="20">
        <f>'a remplir'!E45</f>
        <v>4387.17</v>
      </c>
    </row>
    <row r="60" spans="1:18" ht="15" thickBot="1">
      <c r="A60" s="62"/>
      <c r="B60" s="62"/>
      <c r="C60" s="77"/>
      <c r="D60" s="76" t="s">
        <v>95</v>
      </c>
      <c r="E60" s="76"/>
      <c r="F60" s="100">
        <f>SUM(F55:F59)</f>
        <v>71786.082993643286</v>
      </c>
      <c r="G60" s="100">
        <f>(F60/12)*'a remplir'!H7/5</f>
        <v>5982.1735828036071</v>
      </c>
      <c r="H60" s="18"/>
      <c r="J60" s="12" t="s">
        <v>106</v>
      </c>
      <c r="L60" s="11">
        <f>IF($L$58&lt;=$R$53,Q53,IF($L$58&lt;=$R$54,Q53,IF($L$58&lt;=$R$55,Q54,IF($L$58&lt;=$R$56,Q55,IF($L$58&lt;=$R$57,Q56,IF($L$58&lt;=$R$58,Q57,IF($L$58&lt;=$R$59,Q58,IF($L$58&lt;=$R$60,Q59,IF($L$58&lt;=$R$61,Q60,IF($L$58&lt;=$R$62,Q61,IF($L$58&lt;=$R$63,Q62,IF($L$58&lt;=$R$64,Q63,IF($L$58&lt;=$R$65,Q64,IF($L$58&lt;=$R$66,Q65,IF($L$58&lt;=$R$67,Q66,IF($L$58&lt;=$R$68,Q67,IF($L$58&lt;=$R$69,Q68,IF($L$58&lt;=$R$70,Q69,IF($L$58&lt;=$R$71,Q70,IF($L$58&lt;=$R$72,Q71,IF($L$58&lt;=$R$73,Q72,IF($L$58&lt;=$R$74,Q73,IF($L$58&lt;=$R$75,Q74,IF($L$58&lt;=$R$76,Q75,IF($L$58&lt;=$R$77,Q76,IF($L$58&lt;=$R$78,Q77,IF($L$58&lt;=$R$79,Q78,IF($L$58&lt;=$R$80,Q79,IF($L$58&lt;=$R$81,Q80,IF($L$58&lt;=$R$82,Q81,IF($L$58&lt;=$R$83,Q82,IF($L$58&lt;=$R$84,Q83,IF($L$58&lt;=$R$85,Q84,IF($L$58&lt;=$R$86,Q85,IF($L$58&lt;=$R$87,Q86,IF($L$58&lt;=$R$88,Q87,IF($L$58&lt;=$R$89,Q88,IF($L$58&lt;=$R$90,Q89,Q90))))))))))))))))))))))))))))))))))))))</f>
        <v>0.23825768070043452</v>
      </c>
      <c r="O60" s="20">
        <f>'a remplir'!C46</f>
        <v>6500</v>
      </c>
      <c r="P60" s="20">
        <f>'a remplir'!H46</f>
        <v>0.46112791016159954</v>
      </c>
      <c r="Q60" s="20">
        <f>'a remplir'!K46</f>
        <v>0.24773331963845524</v>
      </c>
      <c r="R60" s="20">
        <f>'a remplir'!E46</f>
        <v>4563.75</v>
      </c>
    </row>
    <row r="61" spans="1:18" ht="15" thickBot="1">
      <c r="A61" s="62"/>
      <c r="B61" s="62"/>
      <c r="C61" s="61"/>
      <c r="D61" s="62"/>
      <c r="E61" s="62"/>
      <c r="F61" s="31"/>
      <c r="G61" s="31"/>
      <c r="H61" s="20"/>
      <c r="J61" s="16" t="s">
        <v>105</v>
      </c>
      <c r="K61" s="17"/>
      <c r="L61" s="46">
        <f>IF($L$58&lt;=$R$53,P53,IF($L$58&lt;=$R$54,P53,IF($L$58&lt;=$R$55,P54,IF($L$58&lt;=$R$56,P55,IF($L$58&lt;=$R$57,P56,IF($L$58&lt;=$R$58,P57,IF($L$58&lt;=$R$59,P58,IF($L$58&lt;=$R$60,P59,IF($L$58&lt;=$R$61,P60,IF($L$58&lt;=$R$62,P61,IF($L$58&lt;=$R$63,P62,IF($L$58&lt;=$R$64,P63,IF($L$58&lt;=$R$65,P64,IF($L$58&lt;=$R$66,P65,IF($L$58&lt;=$R$67,P66,IF($L$58&lt;=$R$68,P67,IF($L$58&lt;=$R$69,P68,IF($L$58&lt;=$R$70,P69,IF($L$58&lt;=$R$71,P70,IF($L$58&lt;=$R$72,P71,IF($L$58&lt;=$R$73,P72,IF($L$58&lt;=$R$74,P73,IF($L$58&lt;=$R$75,P74,IF($L$58&lt;=$R$76,P75,IF($L$58&lt;=$R$77,P76,IF($L$58&lt;=$R$78,P77,IF($L$58&lt;=$R$79,P78,IF($L$58&lt;=$R$80,P79,IF($L$58&lt;=$R$81,P80,IF($L$58&lt;=$R$82,P81,IF($L$58&lt;=$R$83,P82,IF($L$58&lt;=$R$84,P83,IF($L$58&lt;=$R$85,P84,IF($L$58&lt;=$R$86,P85,IF($L$58&lt;=$R$87,P86,IF($L$58&lt;=$R$88,P87, IF($L$58&lt;=$R$89,P88, IF($L$58&lt;=$R$90,P89,P90))))))))))))))))))))))))))))))))))))))</f>
        <v>0.46882010953184627</v>
      </c>
      <c r="O61" s="20">
        <f>'a remplir'!C47</f>
        <v>6750</v>
      </c>
      <c r="P61" s="20">
        <f>'a remplir'!H47</f>
        <v>0.45942976904707666</v>
      </c>
      <c r="Q61" s="20">
        <f>'a remplir'!K47</f>
        <v>0.24617601564016223</v>
      </c>
      <c r="R61" s="20">
        <f>'a remplir'!E47</f>
        <v>4740.3599999999997</v>
      </c>
    </row>
    <row r="62" spans="1:18" ht="15" thickBot="1">
      <c r="A62" s="62"/>
      <c r="B62" s="62"/>
      <c r="C62" s="34" t="s">
        <v>96</v>
      </c>
      <c r="D62" s="39" t="s">
        <v>97</v>
      </c>
      <c r="E62" s="39">
        <f>+L60</f>
        <v>0.23825768070043452</v>
      </c>
      <c r="F62" s="101">
        <f>F60*E62</f>
        <v>17103.585640634356</v>
      </c>
      <c r="G62" s="101">
        <f>(F62/12)*'a remplir'!H7/5</f>
        <v>1425.2988033861964</v>
      </c>
      <c r="H62" s="102">
        <f>F60*L61</f>
        <v>33654.759291942049</v>
      </c>
      <c r="O62" s="20">
        <f>'a remplir'!C48</f>
        <v>7000</v>
      </c>
      <c r="P62" s="20">
        <f>'a remplir'!H48</f>
        <v>0.4578604782649372</v>
      </c>
      <c r="Q62" s="20">
        <f>'a remplir'!K48</f>
        <v>0.24472800918864157</v>
      </c>
      <c r="R62" s="20">
        <f>'a remplir'!E48</f>
        <v>4916.9399999999996</v>
      </c>
    </row>
    <row r="63" spans="1:18">
      <c r="A63" s="62"/>
      <c r="B63" s="62"/>
      <c r="C63" s="61"/>
      <c r="D63" s="62"/>
      <c r="E63" s="62"/>
      <c r="F63" s="66"/>
      <c r="G63" s="66"/>
      <c r="H63" s="64"/>
      <c r="O63" s="20">
        <f>'a remplir'!C49</f>
        <v>7250</v>
      </c>
      <c r="P63" s="20">
        <f>'a remplir'!H49</f>
        <v>0.45639623915783523</v>
      </c>
      <c r="Q63" s="20">
        <f>'a remplir'!K49</f>
        <v>0.24338337138807187</v>
      </c>
      <c r="R63" s="20">
        <f>'a remplir'!E49</f>
        <v>5093.54</v>
      </c>
    </row>
    <row r="64" spans="1:18">
      <c r="A64" s="62"/>
      <c r="B64" s="62"/>
      <c r="C64" s="61"/>
      <c r="D64" s="62" t="s">
        <v>98</v>
      </c>
      <c r="E64" s="62"/>
      <c r="F64" s="98">
        <f>F14</f>
        <v>4102.9631999999992</v>
      </c>
      <c r="G64" s="98">
        <f>(F64/12)*'a remplir'!H7/5</f>
        <v>341.91359999999992</v>
      </c>
      <c r="H64" s="64"/>
      <c r="O64" s="20">
        <f>'a remplir'!C50</f>
        <v>7500</v>
      </c>
      <c r="P64" s="20">
        <f>'a remplir'!H50</f>
        <v>0.45503202950965244</v>
      </c>
      <c r="Q64" s="20">
        <f>'a remplir'!K50</f>
        <v>0.24212695250980043</v>
      </c>
      <c r="R64" s="20">
        <f>'a remplir'!E50</f>
        <v>5270.14</v>
      </c>
    </row>
    <row r="65" spans="1:18">
      <c r="A65" s="62"/>
      <c r="B65" s="62"/>
      <c r="C65" s="61"/>
      <c r="D65" s="62"/>
      <c r="E65" s="62"/>
      <c r="F65" s="66"/>
      <c r="G65" s="66"/>
      <c r="H65" s="64" t="s">
        <v>109</v>
      </c>
      <c r="O65" s="20">
        <f>'a remplir'!C51</f>
        <v>7750</v>
      </c>
      <c r="P65" s="20">
        <f>'a remplir'!H51</f>
        <v>0.45375528069135063</v>
      </c>
      <c r="Q65" s="20">
        <f>'a remplir'!K51</f>
        <v>0.24095612183824044</v>
      </c>
      <c r="R65" s="20">
        <f>'a remplir'!E51</f>
        <v>5446.73</v>
      </c>
    </row>
    <row r="66" spans="1:18" ht="15" thickBot="1">
      <c r="A66" s="62"/>
      <c r="B66" s="62"/>
      <c r="C66" s="186" t="s">
        <v>100</v>
      </c>
      <c r="D66" s="183"/>
      <c r="E66" s="183"/>
      <c r="F66" s="103">
        <f>F60-F62+F64</f>
        <v>58785.460553008932</v>
      </c>
      <c r="G66" s="103">
        <f>(F66/12)*'a remplir'!H7/5</f>
        <v>4898.7883794174113</v>
      </c>
      <c r="H66" s="104">
        <f>F60+H62+F64</f>
        <v>109543.80548558533</v>
      </c>
      <c r="I66" t="s">
        <v>101</v>
      </c>
      <c r="O66" s="20">
        <f>'a remplir'!C52</f>
        <v>8000</v>
      </c>
      <c r="P66" s="20">
        <f>'a remplir'!H52</f>
        <v>0.45255791497208953</v>
      </c>
      <c r="Q66" s="20">
        <f>'a remplir'!K52</f>
        <v>0.23985662187707291</v>
      </c>
      <c r="R66" s="20">
        <f>'a remplir'!E52</f>
        <v>5623.33</v>
      </c>
    </row>
    <row r="67" spans="1:18" ht="15" thickBot="1">
      <c r="A67" s="62"/>
      <c r="B67" s="62"/>
      <c r="C67" s="187" t="s">
        <v>110</v>
      </c>
      <c r="D67" s="187"/>
      <c r="E67" s="187"/>
      <c r="F67" s="105">
        <f>IF('a remplir'!E10="oui",calcul!F66+('a remplir'!H5*'a remplir'!$H$12),0)</f>
        <v>0</v>
      </c>
      <c r="G67" s="105">
        <f>(F67/12)*'a remplir'!H7/5</f>
        <v>0</v>
      </c>
      <c r="H67" s="106">
        <f>IF(F67=0,0,H66)</f>
        <v>0</v>
      </c>
      <c r="I67" t="s">
        <v>103</v>
      </c>
      <c r="O67" s="20">
        <f>'a remplir'!C53</f>
        <v>8201.82</v>
      </c>
      <c r="P67" s="20">
        <f>'a remplir'!H53</f>
        <v>0.45164875092787227</v>
      </c>
      <c r="Q67" s="20">
        <f>'a remplir'!K53</f>
        <v>0.23901519585908837</v>
      </c>
      <c r="R67" s="20">
        <f>'a remplir'!E53</f>
        <v>5765.88</v>
      </c>
    </row>
    <row r="68" spans="1:18" ht="15" thickBot="1">
      <c r="A68" s="62"/>
      <c r="B68" s="62"/>
      <c r="C68" s="62"/>
      <c r="D68" s="62"/>
      <c r="E68" s="62"/>
      <c r="F68" s="62"/>
      <c r="G68" s="62"/>
      <c r="H68" s="62"/>
      <c r="O68" s="20">
        <f>'a remplir'!C54</f>
        <v>8305.6299999999992</v>
      </c>
      <c r="P68" s="20">
        <f>'a remplir'!H54</f>
        <v>0.46186841927265343</v>
      </c>
      <c r="Q68" s="20">
        <f>'a remplir'!K54</f>
        <v>0.23901651566367044</v>
      </c>
      <c r="R68" s="20">
        <f>'a remplir'!E54</f>
        <v>5765.89</v>
      </c>
    </row>
    <row r="69" spans="1:18" ht="15" thickBot="1">
      <c r="C69" s="62"/>
      <c r="D69" s="79"/>
      <c r="E69" s="94" t="s">
        <v>111</v>
      </c>
      <c r="F69" s="124">
        <f>H48-H66</f>
        <v>4456.1945144146739</v>
      </c>
      <c r="G69" s="124">
        <f>(F69/12)*'a remplir'!H7/5</f>
        <v>371.34954286788951</v>
      </c>
      <c r="H69" s="62"/>
      <c r="O69" s="20">
        <f>'a remplir'!C55</f>
        <v>8400</v>
      </c>
      <c r="P69" s="20">
        <f>'a remplir'!H55</f>
        <v>0.44039912821453747</v>
      </c>
      <c r="Q69" s="20">
        <f>'a remplir'!K55</f>
        <v>0.23864405766061758</v>
      </c>
      <c r="R69" s="20">
        <f>'a remplir'!E55</f>
        <v>5831.71</v>
      </c>
    </row>
    <row r="70" spans="1:18">
      <c r="K70" s="180">
        <f>+G67-G59</f>
        <v>-543.8339620730552</v>
      </c>
      <c r="O70" s="20">
        <f>'a remplir'!C56</f>
        <v>8500</v>
      </c>
      <c r="P70" s="20">
        <f>'a remplir'!H56</f>
        <v>0.46882010953184627</v>
      </c>
      <c r="Q70" s="20">
        <f>'a remplir'!K56</f>
        <v>0.23825768070043452</v>
      </c>
      <c r="R70" s="20">
        <f>'a remplir'!E56</f>
        <v>5901.48</v>
      </c>
    </row>
    <row r="71" spans="1:18">
      <c r="C71" s="49" t="s">
        <v>112</v>
      </c>
      <c r="D71" s="5"/>
      <c r="O71" s="20">
        <f>'a remplir'!C57</f>
        <v>8750</v>
      </c>
      <c r="P71" s="20">
        <f>'a remplir'!H57</f>
        <v>0.46791595894559435</v>
      </c>
      <c r="Q71" s="20">
        <f>'a remplir'!K57</f>
        <v>0.23732733868897149</v>
      </c>
      <c r="R71" s="20">
        <f>'a remplir'!E57</f>
        <v>6075.84</v>
      </c>
    </row>
    <row r="72" spans="1:18">
      <c r="J72" t="s">
        <v>108</v>
      </c>
      <c r="O72" s="20">
        <f>'a remplir'!C58</f>
        <v>9000</v>
      </c>
      <c r="P72" s="20">
        <f>'a remplir'!H58</f>
        <v>0.46686311339938985</v>
      </c>
      <c r="Q72" s="20">
        <f>'a remplir'!K58</f>
        <v>0.23645492511451627</v>
      </c>
      <c r="R72" s="20">
        <f>'a remplir'!E58</f>
        <v>6250.21</v>
      </c>
    </row>
    <row r="73" spans="1:18">
      <c r="C73" t="s">
        <v>113</v>
      </c>
      <c r="D73" s="5">
        <f>F39</f>
        <v>2848.8</v>
      </c>
      <c r="G73" s="5"/>
      <c r="O73" s="20">
        <f>'a remplir'!C59</f>
        <v>9250</v>
      </c>
      <c r="P73" s="20">
        <f>'a remplir'!H59</f>
        <v>0.4659654794554664</v>
      </c>
      <c r="Q73" s="20">
        <f>'a remplir'!K59</f>
        <v>0.23562519845655283</v>
      </c>
      <c r="R73" s="20">
        <f>'a remplir'!E59</f>
        <v>6424.58</v>
      </c>
    </row>
    <row r="74" spans="1:18">
      <c r="C74" t="s">
        <v>114</v>
      </c>
      <c r="D74" s="5">
        <f>D73*0.1</f>
        <v>284.88000000000005</v>
      </c>
      <c r="O74" s="20">
        <f>'a remplir'!C60</f>
        <v>9500</v>
      </c>
      <c r="P74" s="20">
        <f>'a remplir'!H60</f>
        <v>0.46511376809947041</v>
      </c>
      <c r="Q74" s="20">
        <f>'a remplir'!K60</f>
        <v>0.23484083642094578</v>
      </c>
      <c r="R74" s="20">
        <f>'a remplir'!E60</f>
        <v>6598.95</v>
      </c>
    </row>
    <row r="75" spans="1:18">
      <c r="C75" t="s">
        <v>95</v>
      </c>
      <c r="D75" s="5">
        <f>D73+D74</f>
        <v>3133.6800000000003</v>
      </c>
      <c r="G75" s="5"/>
      <c r="K75" s="180"/>
      <c r="O75" s="20">
        <f>'a remplir'!C61</f>
        <v>9750</v>
      </c>
      <c r="P75" s="20">
        <f>'a remplir'!H61</f>
        <v>0.46429873799709453</v>
      </c>
      <c r="Q75" s="20">
        <f>'a remplir'!K61</f>
        <v>0.23409400024507776</v>
      </c>
      <c r="R75" s="20">
        <f>'a remplir'!E61</f>
        <v>6773.36</v>
      </c>
    </row>
    <row r="76" spans="1:18">
      <c r="C76" t="s">
        <v>115</v>
      </c>
      <c r="D76" s="5">
        <f>D75*L61-(F60*(L61-I23))</f>
        <v>1328.6471140550007</v>
      </c>
      <c r="O76" s="20">
        <f>'a remplir'!C62</f>
        <v>10000</v>
      </c>
      <c r="P76" s="20">
        <f>'a remplir'!H62</f>
        <v>0.46353017460379148</v>
      </c>
      <c r="Q76" s="20">
        <f>'a remplir'!K62</f>
        <v>0.23345940868456316</v>
      </c>
      <c r="R76" s="20">
        <f>'a remplir'!E62</f>
        <v>6947.73</v>
      </c>
    </row>
    <row r="77" spans="1:18">
      <c r="C77" t="s">
        <v>40</v>
      </c>
      <c r="D77" s="44">
        <f>D75+D76-(F61*(L62-I24))</f>
        <v>4462.3271140550005</v>
      </c>
      <c r="G77" s="5"/>
      <c r="O77" s="20">
        <f>'a remplir'!C63</f>
        <v>10250</v>
      </c>
      <c r="P77" s="20">
        <f>'a remplir'!H63</f>
        <v>0.4628532495377059</v>
      </c>
      <c r="Q77" s="20">
        <f>'a remplir'!K63</f>
        <v>0.23271861735810706</v>
      </c>
      <c r="R77" s="20">
        <f>'a remplir'!E63</f>
        <v>7122.09</v>
      </c>
    </row>
    <row r="78" spans="1:18">
      <c r="O78" s="20">
        <f>'a remplir'!C64</f>
        <v>10500</v>
      </c>
      <c r="P78" s="20">
        <f>'a remplir'!H64</f>
        <v>0.46210799483585191</v>
      </c>
      <c r="Q78" s="20">
        <f>'a remplir'!K64</f>
        <v>0.23207595703944106</v>
      </c>
      <c r="R78" s="20">
        <f>'a remplir'!E64</f>
        <v>7296.46</v>
      </c>
    </row>
    <row r="79" spans="1:18">
      <c r="A79" s="47" t="s">
        <v>116</v>
      </c>
      <c r="B79" s="48"/>
      <c r="C79" s="48"/>
      <c r="D79" s="48"/>
      <c r="O79" s="20">
        <f>'a remplir'!C65</f>
        <v>10750</v>
      </c>
      <c r="P79" s="20">
        <f>'a remplir'!H65</f>
        <v>0.4614464370807031</v>
      </c>
      <c r="Q79" s="20">
        <f>'a remplir'!K65</f>
        <v>0.23146700203725423</v>
      </c>
      <c r="R79" s="20">
        <f>'a remplir'!E65</f>
        <v>7470.84</v>
      </c>
    </row>
    <row r="80" spans="1:18" ht="30.6">
      <c r="F80" s="74" t="s">
        <v>89</v>
      </c>
      <c r="G80" s="74" t="s">
        <v>90</v>
      </c>
      <c r="O80" s="20">
        <f>'a remplir'!C66</f>
        <v>11000</v>
      </c>
      <c r="P80" s="20">
        <f>'a remplir'!H66</f>
        <v>0.46080791552379724</v>
      </c>
      <c r="Q80" s="20">
        <f>'a remplir'!K66</f>
        <v>0.23088421636759138</v>
      </c>
      <c r="R80" s="20">
        <f>'a remplir'!E66</f>
        <v>7645.23</v>
      </c>
    </row>
    <row r="81" spans="3:18" ht="15" thickBot="1">
      <c r="D81" s="7">
        <f>C2</f>
        <v>0</v>
      </c>
      <c r="F81" s="74">
        <v>228</v>
      </c>
      <c r="G81" s="74">
        <f>'a remplir'!H9</f>
        <v>10</v>
      </c>
      <c r="O81" s="20">
        <f>'a remplir'!C67</f>
        <v>11250</v>
      </c>
      <c r="P81" s="20">
        <f>'a remplir'!H67</f>
        <v>0.46020731265961518</v>
      </c>
      <c r="Q81" s="20">
        <f>'a remplir'!K67</f>
        <v>0.230325750774657</v>
      </c>
      <c r="R81" s="20">
        <f>'a remplir'!E67</f>
        <v>7819.59</v>
      </c>
    </row>
    <row r="82" spans="3:18">
      <c r="C82" s="10"/>
      <c r="D82" s="14"/>
      <c r="E82" s="14"/>
      <c r="F82" s="15"/>
      <c r="G82" s="15"/>
      <c r="H82" s="40" t="s">
        <v>117</v>
      </c>
      <c r="O82" s="20">
        <f>'a remplir'!C68</f>
        <v>11500</v>
      </c>
      <c r="P82" s="20">
        <f>'a remplir'!H68</f>
        <v>0.45962310435714837</v>
      </c>
      <c r="Q82" s="20">
        <f>'a remplir'!K68</f>
        <v>0.2297967519974381</v>
      </c>
      <c r="R82" s="20">
        <f>'a remplir'!E68</f>
        <v>7993.99</v>
      </c>
    </row>
    <row r="83" spans="3:18">
      <c r="C83" s="12" t="s">
        <v>15</v>
      </c>
      <c r="F83" s="41">
        <f>F55</f>
        <v>28488</v>
      </c>
      <c r="G83" s="63">
        <f>(F83/12)*'a remplir'!H7/5</f>
        <v>2374</v>
      </c>
      <c r="H83" s="20"/>
      <c r="O83" s="20">
        <f>'a remplir'!C69</f>
        <v>11750</v>
      </c>
      <c r="P83" s="20">
        <f>'a remplir'!H69</f>
        <v>0.45907399789920594</v>
      </c>
      <c r="Q83" s="20">
        <f>'a remplir'!K69</f>
        <v>0.22928440019636798</v>
      </c>
      <c r="R83" s="20">
        <f>'a remplir'!E69</f>
        <v>8168.34</v>
      </c>
    </row>
    <row r="84" spans="3:18" ht="15" thickBot="1">
      <c r="C84" s="12" t="s">
        <v>73</v>
      </c>
      <c r="F84" s="41">
        <f>F56</f>
        <v>3107.6226404174586</v>
      </c>
      <c r="G84" s="63">
        <f>(F84/12)*'a remplir'!H7/5</f>
        <v>258.96855336812155</v>
      </c>
      <c r="H84" s="20"/>
      <c r="O84" s="20">
        <f>'a remplir'!C70</f>
        <v>12000</v>
      </c>
      <c r="P84" s="20">
        <f>'a remplir'!H70</f>
        <v>0.45854259761804311</v>
      </c>
      <c r="Q84" s="20">
        <f>'a remplir'!K70</f>
        <v>0.22879743506913808</v>
      </c>
      <c r="R84" s="20">
        <f>'a remplir'!E70</f>
        <v>8342.7199999999993</v>
      </c>
    </row>
    <row r="85" spans="3:18">
      <c r="C85" s="12" t="s">
        <v>74</v>
      </c>
      <c r="F85" s="42">
        <v>0</v>
      </c>
      <c r="G85" s="63">
        <f>(F85/12)*'a remplir'!H7/5</f>
        <v>0</v>
      </c>
      <c r="H85" s="20"/>
      <c r="J85" s="10" t="s">
        <v>95</v>
      </c>
      <c r="K85" s="14"/>
      <c r="L85" s="45">
        <f>F88/12</f>
        <v>5438.3396207305523</v>
      </c>
      <c r="O85" s="20">
        <f>'a remplir'!C71</f>
        <v>12250</v>
      </c>
      <c r="P85" s="20">
        <f>'a remplir'!H71</f>
        <v>0.45803295722722526</v>
      </c>
      <c r="Q85" s="20">
        <f>'a remplir'!K71</f>
        <v>0.22832806207511958</v>
      </c>
      <c r="R85" s="20">
        <f>'a remplir'!E71</f>
        <v>8517.1</v>
      </c>
    </row>
    <row r="86" spans="3:18">
      <c r="C86" s="12" t="s">
        <v>118</v>
      </c>
      <c r="F86" s="41">
        <f>F58</f>
        <v>33664.452808349168</v>
      </c>
      <c r="G86" s="63">
        <f>(F86/12)*'a remplir'!H7/5</f>
        <v>2805.3710673624305</v>
      </c>
      <c r="H86" s="20"/>
      <c r="J86" s="12"/>
      <c r="L86" s="11"/>
      <c r="O86" s="20">
        <f>'a remplir'!C72</f>
        <v>12500</v>
      </c>
      <c r="P86" s="20">
        <f>'a remplir'!H72</f>
        <v>0.45754544398128288</v>
      </c>
      <c r="Q86" s="20">
        <f>'a remplir'!K72</f>
        <v>0.22788008674021776</v>
      </c>
      <c r="R86" s="20">
        <f>'a remplir'!E72</f>
        <v>8691.4699999999993</v>
      </c>
    </row>
    <row r="87" spans="3:18" ht="15" thickBot="1">
      <c r="C87" s="12" t="s">
        <v>119</v>
      </c>
      <c r="F87" s="41"/>
      <c r="G87" s="63">
        <f>(F87/12)*'a remplir'!H7/5</f>
        <v>0</v>
      </c>
      <c r="H87" s="20"/>
      <c r="J87" s="12" t="s">
        <v>106</v>
      </c>
      <c r="L87" s="11">
        <f>IF($L$85&lt;=$R$53,Q53,IF($L$85&lt;=$R$54,Q53,IF($L$85&lt;=$R$55,Q54,IF($L$85&lt;=$R$56,Q55,IF($L$85&lt;=$R$57,Q56,IF($L$85&lt;=$R$58,Q57,IF($L$85&lt;=$R$59,Q58,IF($L$85&lt;=$R$60,Q59,IF($L$85&lt;=$R$61,Q60,IF($L$85&lt;=$R$62,Q61,IF($L$85&lt;=$R$63,Q62,IF($L$85&lt;=$R$64,Q63,IF($L$85&lt;=$R$65,Q64,IF($L$85&lt;=$R$66,Q65,IF($L$85&lt;=$R$67,Q66,IF($L$85&lt;=$R$68,Q67,IF($L$85&lt;=$R$69,Q68,IF($L$85&lt;=$R$70,Q69,IF($L$85&lt;=$R$71,Q70,IF($L$85&lt;=$R$72,Q71,IF($L$85&lt;=$R$73,Q72,IF($L$85&lt;=$R$74,Q73,IF($L$85&lt;=$R$75,Q74,IF($L$85&lt;=$R$76,Q75,IF($L$85&lt;=$R$77,Q76,IF($L$85&lt;=$R$78,Q77,IF($L$85&lt;=$R$79,Q78,IF($L$85&lt;=$R$80,Q79,IF($L$85&lt;=$R$81,Q80,IF($L$85&lt;=$R$82,Q81,IF($L$85&lt;=$R$83,Q82,IF($L$85&lt;=$R$84,Q83,IF($L$85&lt;=$R$85,Q84,IF($L$85&lt;=$R$86,Q85,IF($L$85&lt;=$R$87,Q86,IF($L$85&lt;=$R$88,Q87,IF($L$85&lt;=$R$89,Q88,IF($L$85&lt;=$R$90,Q89,Q90))))))))))))))))))))))))))))))))))))))</f>
        <v>0.24212695250980043</v>
      </c>
      <c r="O87" s="20">
        <f>'a remplir'!C73</f>
        <v>12750</v>
      </c>
      <c r="P87" s="20">
        <f>'a remplir'!H73</f>
        <v>0.4570782351136497</v>
      </c>
      <c r="Q87" s="20">
        <f>'a remplir'!K73</f>
        <v>0.22744860470073913</v>
      </c>
      <c r="R87" s="20">
        <f>'a remplir'!E73</f>
        <v>8865.84</v>
      </c>
    </row>
    <row r="88" spans="3:18" ht="15" thickBot="1">
      <c r="C88" s="37"/>
      <c r="D88" s="38" t="s">
        <v>95</v>
      </c>
      <c r="E88" s="38"/>
      <c r="F88" s="65">
        <f>SUM(F83:F87)</f>
        <v>65260.075448766627</v>
      </c>
      <c r="G88" s="65">
        <f>SUM(G83:G87)</f>
        <v>5438.3396207305523</v>
      </c>
      <c r="H88" s="18"/>
      <c r="J88" s="16" t="s">
        <v>105</v>
      </c>
      <c r="K88" s="17"/>
      <c r="L88" s="46">
        <f>IF($L$85&lt;=$R$53,P53,IF($L$85&lt;=$R$54,P53,IF($L$85&lt;=$R$55,P54,IF($L$85&lt;=$R$56,P55,IF($L$85&lt;=$R$57,P56,IF($L$85&lt;=$R$58,P57,IF($L$85&lt;=$R$59,P58,IF($L$85&lt;=$R$60,P59,IF($L$85&lt;=$R$61,P60,IF($L$85&lt;=$R$62,P61,IF($L$85&lt;=$R$63,P62,IF($L$85&lt;=$R$64,P63,IF($L$85&lt;=$R$65,P64,IF($L$85&lt;=$R$66,P65,IF($L$85&lt;=$R$67,P66,IF($L$85&lt;=$R$68,P67,IF($L$85&lt;=$R$69,P68,IF($L$85&lt;=$R$70,P69,IF($L$85&lt;=$R$71,P70,IF($L$85&lt;=$R$72,P71,IF($L$85&lt;=$R$73,P72,IF($L$85&lt;=$R$74,P73,IF($L$85&lt;=$R$75,P74,IF($L$85&lt;=$R$76,P75,IF($L$85&lt;=$R$77,P76,IF($L$85&lt;=$R$78,P77,IF($L$85&lt;=$R$79,P78,IF($L$85&lt;=$R$80,P79,IF($L$85&lt;=$R$81,P80,IF($L$85&lt;=$R$82,P81,IF($L$85&lt;=$R$83,P82,IF($L$85&lt;=$R$84,P83,IF($L$85&lt;=$R$85,P84,IF($L$85&lt;=$R$86,P85,IF($L$85&lt;=$R$87,P86,IF($L$85&lt;=$R$88,P87,IF($L$85&lt;=$R$89,P88,IF($L$85&lt;=$R$90,P89,P90))))))))))))))))))))))))))))))))))))))</f>
        <v>0.45503202950965244</v>
      </c>
      <c r="O88" s="20">
        <f>'a remplir'!C74</f>
        <v>13000</v>
      </c>
      <c r="P88" s="20">
        <f>'a remplir'!H74</f>
        <v>0.45662522593476707</v>
      </c>
      <c r="Q88" s="20">
        <f>'a remplir'!K74</f>
        <v>0.22703351660689675</v>
      </c>
      <c r="R88" s="20">
        <f>'a remplir'!E74</f>
        <v>9040.2199999999993</v>
      </c>
    </row>
    <row r="89" spans="3:18" ht="15" thickBot="1">
      <c r="C89" s="12"/>
      <c r="F89" s="31"/>
      <c r="G89" s="31"/>
      <c r="H89" s="20"/>
      <c r="O89" s="20">
        <f>'a remplir'!C75</f>
        <v>13250</v>
      </c>
      <c r="P89" s="20">
        <f>'a remplir'!H75</f>
        <v>0.45618995269468798</v>
      </c>
      <c r="Q89" s="20">
        <f>'a remplir'!K75</f>
        <v>0.22663497831161605</v>
      </c>
      <c r="R89" s="20">
        <f>'a remplir'!E75</f>
        <v>9214.61</v>
      </c>
    </row>
    <row r="90" spans="3:18" ht="15" thickBot="1">
      <c r="C90" s="34" t="s">
        <v>120</v>
      </c>
      <c r="D90" s="39" t="s">
        <v>77</v>
      </c>
      <c r="E90" s="39">
        <f>L87</f>
        <v>0.24212695250980043</v>
      </c>
      <c r="F90" s="36">
        <f>F88*E90</f>
        <v>15801.22318896951</v>
      </c>
      <c r="G90" s="36">
        <f>(F90/12)*'a remplir'!H7/5</f>
        <v>1316.7685990807925</v>
      </c>
      <c r="H90" s="35">
        <f>F88*L88</f>
        <v>29695.42457740532</v>
      </c>
      <c r="O90" s="21">
        <f>'a remplir'!C76</f>
        <v>13500</v>
      </c>
      <c r="P90" s="21">
        <f>'a remplir'!H76</f>
        <v>0.4557718197290867</v>
      </c>
      <c r="Q90" s="21">
        <f>'a remplir'!K76</f>
        <v>0.22624853152312607</v>
      </c>
      <c r="R90" s="21">
        <f>'a remplir'!E76</f>
        <v>9388.98</v>
      </c>
    </row>
    <row r="91" spans="3:18">
      <c r="C91" s="12"/>
      <c r="F91" s="11"/>
      <c r="G91" s="11"/>
      <c r="H91" s="20"/>
    </row>
    <row r="92" spans="3:18">
      <c r="C92" s="12"/>
      <c r="D92" t="s">
        <v>121</v>
      </c>
      <c r="F92" s="41">
        <f>F14</f>
        <v>4102.9631999999992</v>
      </c>
      <c r="G92" s="41">
        <f>(F92/12)*'a remplir'!H7/5</f>
        <v>341.91359999999992</v>
      </c>
      <c r="H92" s="20"/>
    </row>
    <row r="93" spans="3:18">
      <c r="C93" s="12"/>
      <c r="F93" s="11"/>
      <c r="G93" s="11"/>
      <c r="H93" s="20" t="s">
        <v>122</v>
      </c>
    </row>
    <row r="94" spans="3:18" ht="15" thickBot="1">
      <c r="C94" s="67"/>
      <c r="D94" s="68" t="s">
        <v>123</v>
      </c>
      <c r="E94" s="68"/>
      <c r="F94" s="69">
        <f>F88-F90+F92</f>
        <v>53561.815459797115</v>
      </c>
      <c r="G94" s="69">
        <f>(F94/12)*'a remplir'!H7/5</f>
        <v>4463.4846216497599</v>
      </c>
      <c r="H94" s="70">
        <f>F88+H90+F92</f>
        <v>99058.463226171938</v>
      </c>
      <c r="I94" t="s">
        <v>101</v>
      </c>
    </row>
    <row r="95" spans="3:18" ht="15" thickBot="1">
      <c r="C95" s="84"/>
      <c r="D95" s="85" t="s">
        <v>124</v>
      </c>
      <c r="E95" s="85"/>
      <c r="F95" s="86">
        <f>IF('a remplir'!$E$10="oui",calcul!F94+('a remplir'!$H$5*'a remplir'!$H$12),0)</f>
        <v>0</v>
      </c>
      <c r="G95" s="86">
        <f>(F95/12)*'a remplir'!H7/5</f>
        <v>0</v>
      </c>
      <c r="H95" s="87">
        <f>IF(F95=0,0,H94)</f>
        <v>0</v>
      </c>
      <c r="I95" t="s">
        <v>103</v>
      </c>
    </row>
    <row r="97" spans="3:7">
      <c r="C97" s="88" t="s">
        <v>111</v>
      </c>
      <c r="D97" s="88">
        <f>D77</f>
        <v>4462.3271140550005</v>
      </c>
      <c r="E97" s="88"/>
      <c r="F97" s="88"/>
      <c r="G97" s="88">
        <f>D97/12*'a remplir'!H7/5</f>
        <v>371.86059283791673</v>
      </c>
    </row>
    <row r="98" spans="3:7">
      <c r="C98" s="88" t="s">
        <v>125</v>
      </c>
      <c r="D98" s="88">
        <f>H66-H94</f>
        <v>10485.342259413388</v>
      </c>
      <c r="E98" s="88"/>
      <c r="F98" s="88"/>
      <c r="G98" s="88">
        <f>D98/12*'a remplir'!H7/5</f>
        <v>873.7785216177823</v>
      </c>
    </row>
    <row r="100" spans="3:7">
      <c r="C100" s="49" t="s">
        <v>112</v>
      </c>
    </row>
    <row r="101" spans="3:7">
      <c r="D101" s="5"/>
    </row>
    <row r="102" spans="3:7">
      <c r="C102" t="s">
        <v>119</v>
      </c>
      <c r="D102" s="5">
        <f>F59</f>
        <v>6526.0075448766629</v>
      </c>
    </row>
    <row r="103" spans="3:7">
      <c r="C103" t="s">
        <v>95</v>
      </c>
      <c r="D103" s="5">
        <f>D101+D102</f>
        <v>6526.0075448766629</v>
      </c>
    </row>
    <row r="104" spans="3:7">
      <c r="C104" t="s">
        <v>115</v>
      </c>
      <c r="D104" s="5">
        <f>(D103*L88)-((F60*(L88-L61)))</f>
        <v>3959.3347145367338</v>
      </c>
    </row>
    <row r="105" spans="3:7">
      <c r="C105" t="s">
        <v>40</v>
      </c>
      <c r="D105" s="44">
        <f>D103+D104</f>
        <v>10485.342259413397</v>
      </c>
    </row>
  </sheetData>
  <mergeCells count="5">
    <mergeCell ref="P52:Q52"/>
    <mergeCell ref="C48:E48"/>
    <mergeCell ref="C49:E49"/>
    <mergeCell ref="C66:E66"/>
    <mergeCell ref="C67:E67"/>
  </mergeCells>
  <pageMargins left="0.7" right="0.7" top="0.75" bottom="0.75" header="0.3" footer="0.3"/>
  <pageSetup paperSize="9" orientation="landscape" r:id="rId1"/>
  <headerFooter>
    <oddFooter>&amp;L_x000D_&amp;1#&amp;"Calibri"&amp;10&amp;K000000 Signe Plus - Diffusion Interne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18"/>
  <sheetViews>
    <sheetView workbookViewId="0">
      <selection activeCell="I27" sqref="I27"/>
    </sheetView>
  </sheetViews>
  <sheetFormatPr defaultColWidth="11.42578125" defaultRowHeight="14.45"/>
  <sheetData>
    <row r="2" spans="1:8">
      <c r="A2" s="43" t="s">
        <v>126</v>
      </c>
      <c r="B2" s="43"/>
      <c r="C2" s="43"/>
      <c r="D2" s="43"/>
    </row>
    <row r="4" spans="1:8">
      <c r="B4" s="47" t="s">
        <v>127</v>
      </c>
      <c r="C4" s="48"/>
      <c r="D4" s="48"/>
      <c r="E4" s="48"/>
      <c r="F4" s="48"/>
      <c r="H4" t="s">
        <v>128</v>
      </c>
    </row>
    <row r="6" spans="1:8">
      <c r="B6" s="47" t="s">
        <v>129</v>
      </c>
      <c r="C6" s="48"/>
      <c r="D6" s="48"/>
      <c r="E6" s="48"/>
      <c r="F6" s="48"/>
      <c r="H6" t="s">
        <v>130</v>
      </c>
    </row>
    <row r="8" spans="1:8">
      <c r="B8" s="47" t="s">
        <v>116</v>
      </c>
      <c r="C8" s="48"/>
      <c r="D8" s="48"/>
      <c r="E8" s="48"/>
      <c r="H8" t="s">
        <v>131</v>
      </c>
    </row>
    <row r="9" spans="1:8">
      <c r="H9" t="s">
        <v>132</v>
      </c>
    </row>
    <row r="10" spans="1:8">
      <c r="H10" t="s">
        <v>133</v>
      </c>
    </row>
    <row r="11" spans="1:8">
      <c r="A11" s="43" t="s">
        <v>134</v>
      </c>
      <c r="B11" s="43"/>
    </row>
    <row r="12" spans="1:8">
      <c r="A12" t="s">
        <v>135</v>
      </c>
    </row>
    <row r="13" spans="1:8">
      <c r="A13" t="s">
        <v>136</v>
      </c>
    </row>
    <row r="14" spans="1:8">
      <c r="A14" t="s">
        <v>137</v>
      </c>
    </row>
    <row r="18" spans="4:4">
      <c r="D18" t="s">
        <v>108</v>
      </c>
    </row>
  </sheetData>
  <pageMargins left="0.7" right="0.7" top="0.75" bottom="0.75" header="0.3" footer="0.3"/>
  <headerFooter>
    <oddFooter>&amp;L_x000D_&amp;1#&amp;"Calibri"&amp;10&amp;K000000 Signe Plus - Diffusion Interne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866C8-6291-4205-853D-C6143E53931D}">
  <dimension ref="D2:R72"/>
  <sheetViews>
    <sheetView topLeftCell="A35" workbookViewId="0">
      <selection activeCell="G40" sqref="G40"/>
    </sheetView>
  </sheetViews>
  <sheetFormatPr defaultColWidth="11.42578125" defaultRowHeight="14.45"/>
  <cols>
    <col min="6" max="6" width="35.42578125" customWidth="1"/>
    <col min="7" max="7" width="19.140625" customWidth="1"/>
    <col min="8" max="8" width="31.140625" customWidth="1"/>
    <col min="16" max="16" width="5.7109375" customWidth="1"/>
    <col min="18" max="18" width="22.7109375" customWidth="1"/>
  </cols>
  <sheetData>
    <row r="2" spans="6:18" ht="18">
      <c r="Q2" s="188" t="s">
        <v>138</v>
      </c>
      <c r="R2" s="188"/>
    </row>
    <row r="4" spans="6:18" ht="15" thickBot="1">
      <c r="G4" s="189" t="s">
        <v>139</v>
      </c>
      <c r="H4" s="189"/>
    </row>
    <row r="5" spans="6:18" ht="24">
      <c r="F5" s="172" t="s">
        <v>140</v>
      </c>
      <c r="G5" s="173" t="s">
        <v>141</v>
      </c>
      <c r="H5" s="173" t="s">
        <v>142</v>
      </c>
      <c r="I5" s="174" t="s">
        <v>143</v>
      </c>
    </row>
    <row r="6" spans="6:18">
      <c r="F6" s="160">
        <v>3</v>
      </c>
      <c r="G6" s="161">
        <f>0.529*G67</f>
        <v>47.398400000000002</v>
      </c>
      <c r="H6" s="161" t="s">
        <v>144</v>
      </c>
      <c r="I6" s="162" t="s">
        <v>145</v>
      </c>
    </row>
    <row r="7" spans="6:18" ht="24">
      <c r="F7" s="160">
        <v>4</v>
      </c>
      <c r="G7" s="161">
        <f>0.606*G67</f>
        <v>54.297599999999996</v>
      </c>
      <c r="H7" s="161" t="s">
        <v>146</v>
      </c>
      <c r="I7" s="162" t="s">
        <v>147</v>
      </c>
    </row>
    <row r="8" spans="6:18">
      <c r="F8" s="163">
        <v>5</v>
      </c>
      <c r="G8" s="164">
        <f>0.636*G67</f>
        <v>56.985599999999998</v>
      </c>
      <c r="H8" s="164" t="s">
        <v>148</v>
      </c>
      <c r="I8" s="165" t="s">
        <v>149</v>
      </c>
    </row>
    <row r="9" spans="6:18" ht="24">
      <c r="F9" s="166">
        <v>6</v>
      </c>
      <c r="G9" s="167">
        <f>0.665*G67</f>
        <v>59.583999999999996</v>
      </c>
      <c r="H9" s="167" t="s">
        <v>150</v>
      </c>
      <c r="I9" s="168" t="s">
        <v>151</v>
      </c>
    </row>
    <row r="10" spans="6:18" ht="24.6" thickBot="1">
      <c r="F10" s="169" t="s">
        <v>152</v>
      </c>
      <c r="G10" s="170">
        <f>0.697*G67</f>
        <v>62.451199999999993</v>
      </c>
      <c r="H10" s="170" t="s">
        <v>153</v>
      </c>
      <c r="I10" s="171" t="s">
        <v>154</v>
      </c>
    </row>
    <row r="22" spans="6:18" ht="18">
      <c r="Q22" s="188" t="s">
        <v>155</v>
      </c>
      <c r="R22" s="188"/>
    </row>
    <row r="23" spans="6:18" ht="15" thickBot="1">
      <c r="G23" s="189" t="s">
        <v>156</v>
      </c>
      <c r="H23" s="189"/>
    </row>
    <row r="24" spans="6:18" ht="24">
      <c r="F24" s="155" t="s">
        <v>140</v>
      </c>
      <c r="G24" s="156" t="s">
        <v>157</v>
      </c>
      <c r="H24" s="156" t="s">
        <v>158</v>
      </c>
      <c r="I24" s="157" t="s">
        <v>159</v>
      </c>
    </row>
    <row r="25" spans="6:18">
      <c r="F25" s="158" t="s">
        <v>160</v>
      </c>
      <c r="G25" s="161">
        <f>0.395*G67</f>
        <v>35.391999999999996</v>
      </c>
      <c r="H25" s="161" t="s">
        <v>161</v>
      </c>
      <c r="I25" s="162" t="s">
        <v>162</v>
      </c>
    </row>
    <row r="26" spans="6:18">
      <c r="F26" s="158" t="s">
        <v>163</v>
      </c>
      <c r="G26" s="161">
        <f>0.468*G67</f>
        <v>41.9328</v>
      </c>
      <c r="H26" s="161" t="s">
        <v>164</v>
      </c>
      <c r="I26" s="162" t="s">
        <v>165</v>
      </c>
    </row>
    <row r="27" spans="6:18" ht="15" thickBot="1">
      <c r="F27" s="159" t="s">
        <v>166</v>
      </c>
      <c r="G27" s="170">
        <f>0.606*G67</f>
        <v>54.297599999999996</v>
      </c>
      <c r="H27" s="170" t="s">
        <v>167</v>
      </c>
      <c r="I27" s="171" t="s">
        <v>168</v>
      </c>
    </row>
    <row r="38" spans="6:9" ht="15" thickBot="1">
      <c r="H38" t="s">
        <v>169</v>
      </c>
    </row>
    <row r="39" spans="6:9" ht="24">
      <c r="F39" s="155" t="s">
        <v>140</v>
      </c>
      <c r="G39" s="156" t="s">
        <v>141</v>
      </c>
      <c r="H39" s="156" t="s">
        <v>142</v>
      </c>
      <c r="I39" s="157" t="s">
        <v>143</v>
      </c>
    </row>
    <row r="40" spans="6:9">
      <c r="F40" s="160">
        <v>3</v>
      </c>
      <c r="G40" s="161">
        <f>0.635*G67</f>
        <v>56.895999999999994</v>
      </c>
      <c r="H40" s="161" t="s">
        <v>170</v>
      </c>
      <c r="I40" s="162" t="s">
        <v>171</v>
      </c>
    </row>
    <row r="41" spans="6:9">
      <c r="F41" s="160">
        <v>4</v>
      </c>
      <c r="G41" s="161">
        <f>0.727*G67</f>
        <v>65.139199999999988</v>
      </c>
      <c r="H41" s="161" t="s">
        <v>172</v>
      </c>
      <c r="I41" s="162" t="s">
        <v>173</v>
      </c>
    </row>
    <row r="42" spans="6:9">
      <c r="F42" s="163">
        <v>5</v>
      </c>
      <c r="G42" s="164">
        <f>0.763*G67</f>
        <v>68.364800000000002</v>
      </c>
      <c r="H42" s="164" t="s">
        <v>174</v>
      </c>
      <c r="I42" s="165" t="s">
        <v>175</v>
      </c>
    </row>
    <row r="43" spans="6:9">
      <c r="F43" s="166">
        <v>6</v>
      </c>
      <c r="G43" s="167">
        <f>0.798*G67</f>
        <v>71.500799999999998</v>
      </c>
      <c r="H43" s="167" t="s">
        <v>176</v>
      </c>
      <c r="I43" s="168" t="s">
        <v>177</v>
      </c>
    </row>
    <row r="44" spans="6:9" ht="15" thickBot="1">
      <c r="F44" s="169" t="s">
        <v>152</v>
      </c>
      <c r="G44" s="170">
        <f>0.836*G67</f>
        <v>74.905599999999993</v>
      </c>
      <c r="H44" s="170" t="s">
        <v>178</v>
      </c>
      <c r="I44" s="171" t="s">
        <v>179</v>
      </c>
    </row>
    <row r="52" spans="4:8">
      <c r="D52">
        <v>1</v>
      </c>
      <c r="H52" t="s">
        <v>180</v>
      </c>
    </row>
    <row r="53" spans="4:8">
      <c r="D53">
        <v>2</v>
      </c>
      <c r="H53" t="s">
        <v>30</v>
      </c>
    </row>
    <row r="54" spans="4:8">
      <c r="D54">
        <v>3</v>
      </c>
      <c r="H54" t="s">
        <v>181</v>
      </c>
    </row>
    <row r="55" spans="4:8">
      <c r="D55">
        <v>4</v>
      </c>
    </row>
    <row r="56" spans="4:8">
      <c r="D56">
        <v>5</v>
      </c>
    </row>
    <row r="57" spans="4:8">
      <c r="D57">
        <v>6</v>
      </c>
    </row>
    <row r="58" spans="4:8">
      <c r="D58" t="s">
        <v>152</v>
      </c>
    </row>
    <row r="65" spans="6:7">
      <c r="F65" s="153" t="s">
        <v>29</v>
      </c>
      <c r="G65" s="178" t="str">
        <f>+'a remplir'!Q21</f>
        <v>Voiture Thermique</v>
      </c>
    </row>
    <row r="66" spans="6:7">
      <c r="F66" s="153" t="s">
        <v>33</v>
      </c>
      <c r="G66" s="175">
        <f>+'a remplir'!Q22</f>
        <v>5</v>
      </c>
    </row>
    <row r="67" spans="6:7">
      <c r="F67" s="153" t="s">
        <v>36</v>
      </c>
      <c r="G67" s="175">
        <f>+'a remplir'!Q23</f>
        <v>89.6</v>
      </c>
    </row>
    <row r="68" spans="6:7">
      <c r="F68" s="153" t="s">
        <v>37</v>
      </c>
      <c r="G68" s="175">
        <f>+'a remplir'!Q24</f>
        <v>3</v>
      </c>
    </row>
    <row r="69" spans="6:7">
      <c r="F69" s="153" t="s">
        <v>182</v>
      </c>
      <c r="G69" s="175">
        <f>+(G67*G68)*4*12</f>
        <v>12902.399999999998</v>
      </c>
    </row>
    <row r="71" spans="6:7">
      <c r="F71" s="153" t="s">
        <v>183</v>
      </c>
      <c r="G71" s="176" t="str">
        <f>IF(AND(G65="Voiture Thermique",G66=3),G6,"")&amp;IF(AND(G65="Voiture Thermique",G66=4),G7,"")&amp;IF(AND(G65="Voiture Thermique",G66=5),G8,"")&amp;IF(AND(G65="Voiture Thermique",G66=6),G9,"")&amp;IF(AND(G65="Voiture Thermique",G66="7 et plus"),G9,"")&amp;IF(AND(G65="Voiture électrique",G66=3),G40,"")&amp;IF(AND(G65="Voiture électrique",G66=4),G41,"")&amp;IF(AND(G65="Voiture électrique",G66=5),G42,"")&amp;IF(AND(G65="Voiture électrique",G66=6),G43,"")&amp;IF(AND(G65="Voiture électrique",G66="7 et plus"),G44,"")&amp;IF(AND(G65="Deux-Roues",G66=1),G25,"")&amp;IF(AND(G65="Deux-Roues",G66=2),G25,"")&amp;IF(AND(G65="Deux-Roues",G66=3),G26,"")&amp;IF(AND(G65="Deux-Roues",G66=4),G26,"")&amp;IF(AND(G65="Deux-Roues",G66=5),G26,"")&amp;IF(AND(G65="Deux-Roues",G66=6),G27,"")</f>
        <v>56,9856</v>
      </c>
    </row>
    <row r="72" spans="6:7">
      <c r="F72" s="153" t="s">
        <v>184</v>
      </c>
      <c r="G72" s="177">
        <f>+IF('a remplir'!Q21&lt;&gt;0,(G71*(G68/5)),0)</f>
        <v>34.191359999999996</v>
      </c>
    </row>
  </sheetData>
  <mergeCells count="4">
    <mergeCell ref="Q2:R2"/>
    <mergeCell ref="Q22:R22"/>
    <mergeCell ref="G4:H4"/>
    <mergeCell ref="G23:H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18988-1331-4D38-B92C-9711B213D2B9}">
  <dimension ref="A1"/>
  <sheetViews>
    <sheetView workbookViewId="0"/>
  </sheetViews>
  <sheetFormatPr defaultColWidth="11.4257812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fa5e7f-7bba-4b9b-bdd1-56a62ca2cf55">
      <Terms xmlns="http://schemas.microsoft.com/office/infopath/2007/PartnerControls"/>
    </lcf76f155ced4ddcb4097134ff3c332f>
    <TaxCatchAll xmlns="222f2d45-3746-4dd4-ab71-fef7306bbf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12AD105351B64F87AB91DD873B8A8C" ma:contentTypeVersion="14" ma:contentTypeDescription="Crée un document." ma:contentTypeScope="" ma:versionID="dd9ac8f1a4e0f73c3e1a161e41aaf60d">
  <xsd:schema xmlns:xsd="http://www.w3.org/2001/XMLSchema" xmlns:xs="http://www.w3.org/2001/XMLSchema" xmlns:p="http://schemas.microsoft.com/office/2006/metadata/properties" xmlns:ns2="76fa5e7f-7bba-4b9b-bdd1-56a62ca2cf55" xmlns:ns3="222f2d45-3746-4dd4-ab71-fef7306bbf23" targetNamespace="http://schemas.microsoft.com/office/2006/metadata/properties" ma:root="true" ma:fieldsID="30994388a4ec7c75dee8cf449ee59301" ns2:_="" ns3:_="">
    <xsd:import namespace="76fa5e7f-7bba-4b9b-bdd1-56a62ca2cf55"/>
    <xsd:import namespace="222f2d45-3746-4dd4-ab71-fef7306bbf2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fa5e7f-7bba-4b9b-bdd1-56a62ca2cf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02121dca-a2ad-4a62-adac-921949efa1b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f2d45-3746-4dd4-ab71-fef7306bbf2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a6ba03e-fe3c-4fb4-95e4-9fd0c0707ed7}" ma:internalName="TaxCatchAll" ma:showField="CatchAllData" ma:web="222f2d45-3746-4dd4-ab71-fef7306bbf2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4A5C41-4C10-4DEE-AD1A-7EC09A8C4A51}"/>
</file>

<file path=customXml/itemProps2.xml><?xml version="1.0" encoding="utf-8"?>
<ds:datastoreItem xmlns:ds="http://schemas.openxmlformats.org/officeDocument/2006/customXml" ds:itemID="{368339A8-69A5-4E5F-B46D-FD84782F8DE9}"/>
</file>

<file path=customXml/itemProps3.xml><?xml version="1.0" encoding="utf-8"?>
<ds:datastoreItem xmlns:ds="http://schemas.openxmlformats.org/officeDocument/2006/customXml" ds:itemID="{85C91113-870A-4119-96E1-009CFB548C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 Fraisse</dc:creator>
  <cp:keywords/>
  <dc:description/>
  <cp:lastModifiedBy/>
  <cp:revision/>
  <dcterms:created xsi:type="dcterms:W3CDTF">2017-08-02T08:28:29Z</dcterms:created>
  <dcterms:modified xsi:type="dcterms:W3CDTF">2026-01-18T18:22:51Z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0x0101007D12AD105351B64F87AB91DD873B8A8C</vt:lpwstr>
  </property>
  <property fmtid="{D5CDD505-2E9C-101B-9397-08002B2CF9AE}" pid="3" name="_dlc_DocIdItemGuid">
    <vt:lpwstr>4e5d6f5d-1a4f-4b37-bc7f-125ea514f84b</vt:lpwstr>
  </property>
  <property fmtid="{D5CDD505-2E9C-101B-9397-08002B2CF9AE}" pid="4" name="AuthorIds_UIVersion_1024">
    <vt:lpwstr>17</vt:lpwstr>
  </property>
  <property fmtid="{D5CDD505-2E9C-101B-9397-08002B2CF9AE}" pid="5" name="MediaServiceImageTags">
    <vt:lpwstr/>
  </property>
  <property fmtid="{D5CDD505-2E9C-101B-9397-08002B2CF9AE}" pid="6" name="MSIP_Label_5334e1ea-5df4-42c5-9e2e-b54926c54386_Enabled">
    <vt:lpwstr>true</vt:lpwstr>
  </property>
  <property fmtid="{D5CDD505-2E9C-101B-9397-08002B2CF9AE}" pid="7" name="MSIP_Label_5334e1ea-5df4-42c5-9e2e-b54926c54386_SetDate">
    <vt:lpwstr>2025-05-14T07:42:57Z</vt:lpwstr>
  </property>
  <property fmtid="{D5CDD505-2E9C-101B-9397-08002B2CF9AE}" pid="8" name="MSIP_Label_5334e1ea-5df4-42c5-9e2e-b54926c54386_Method">
    <vt:lpwstr>Privileged</vt:lpwstr>
  </property>
  <property fmtid="{D5CDD505-2E9C-101B-9397-08002B2CF9AE}" pid="9" name="MSIP_Label_5334e1ea-5df4-42c5-9e2e-b54926c54386_Name">
    <vt:lpwstr>C2-Interne</vt:lpwstr>
  </property>
  <property fmtid="{D5CDD505-2E9C-101B-9397-08002B2CF9AE}" pid="10" name="MSIP_Label_5334e1ea-5df4-42c5-9e2e-b54926c54386_SiteId">
    <vt:lpwstr>d225ce86-6697-4989-ae65-89171a3d8dda</vt:lpwstr>
  </property>
  <property fmtid="{D5CDD505-2E9C-101B-9397-08002B2CF9AE}" pid="11" name="MSIP_Label_5334e1ea-5df4-42c5-9e2e-b54926c54386_ActionId">
    <vt:lpwstr>3f0a5162-2ef7-441f-ae8c-9497dd71acea</vt:lpwstr>
  </property>
  <property fmtid="{D5CDD505-2E9C-101B-9397-08002B2CF9AE}" pid="12" name="MSIP_Label_5334e1ea-5df4-42c5-9e2e-b54926c54386_ContentBits">
    <vt:lpwstr>2</vt:lpwstr>
  </property>
</Properties>
</file>