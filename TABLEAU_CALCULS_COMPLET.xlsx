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I - Calculs complets" sheetId="1" state="visible" r:id="rId1"/>
    <sheet xmlns:r="http://schemas.openxmlformats.org/officeDocument/2006/relationships" name="CDD - Calculs complets" sheetId="2" state="visible" r:id="rId2"/>
    <sheet xmlns:r="http://schemas.openxmlformats.org/officeDocument/2006/relationships" name="CDI vs CDD comparatif" sheetId="3" state="visible" r:id="rId3"/>
    <sheet xmlns:r="http://schemas.openxmlformats.org/officeDocument/2006/relationships" name="25 Cotisations (CDI+CDD)" sheetId="4" state="visible" r:id="rId4"/>
    <sheet xmlns:r="http://schemas.openxmlformats.org/officeDocument/2006/relationships" name="Barèmes 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E91E63"/>
      <sz val="10"/>
    </font>
    <font>
      <name val="Calibri"/>
      <b val="1"/>
      <color rgb="00FF6600"/>
      <sz val="10"/>
    </font>
    <font>
      <name val="Calibri"/>
      <b val="1"/>
      <color rgb="00E91E63"/>
      <sz val="11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91E63"/>
        <bgColor rgb="00E91E63"/>
      </patternFill>
    </fill>
    <fill>
      <patternFill patternType="solid">
        <fgColor rgb="00F06292"/>
        <bgColor rgb="00F06292"/>
      </patternFill>
    </fill>
    <fill>
      <patternFill patternType="solid">
        <fgColor rgb="00FFF3F7"/>
        <bgColor rgb="00FFF3F7"/>
      </patternFill>
    </fill>
    <fill>
      <patternFill patternType="solid">
        <fgColor rgb="00FFF9C4"/>
        <bgColor rgb="00FFF9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45" customWidth="1" min="3" max="3"/>
    <col width="30" customWidth="1" min="4" max="4"/>
    <col width="20" customWidth="1" min="5" max="5"/>
  </cols>
  <sheetData>
    <row r="1" ht="28" customHeight="1">
      <c r="A1" s="1" t="inlineStr">
        <is>
          <t>CDI — TOUS LES CALCULS</t>
        </is>
      </c>
      <c r="B1" s="2" t="n"/>
      <c r="C1" s="2" t="n"/>
      <c r="D1" s="2" t="n"/>
      <c r="E1" s="2" t="n"/>
    </row>
    <row r="3" ht="24" customHeight="1">
      <c r="A3" s="3" t="inlineStr">
        <is>
          <t>1. DU CA AU MONTANT DISPONIBLE</t>
        </is>
      </c>
      <c r="B3" s="4" t="n"/>
      <c r="C3" s="4" t="n"/>
      <c r="D3" s="4" t="n"/>
      <c r="E3" s="4" t="n"/>
    </row>
    <row r="4">
      <c r="A4" s="5" t="inlineStr">
        <is>
          <t>#</t>
        </is>
      </c>
      <c r="B4" s="5" t="inlineStr">
        <is>
          <t>Étape</t>
        </is>
      </c>
      <c r="C4" s="5" t="inlineStr">
        <is>
          <t>Formule</t>
        </is>
      </c>
      <c r="D4" s="5" t="inlineStr">
        <is>
          <t>Exemple TJM 500€ / 19j</t>
        </is>
      </c>
      <c r="E4" s="5" t="inlineStr">
        <is>
          <t>Résultat</t>
        </is>
      </c>
    </row>
    <row r="5">
      <c r="A5" s="6" t="inlineStr">
        <is>
          <t>1.1</t>
        </is>
      </c>
      <c r="B5" s="6" t="inlineStr">
        <is>
          <t>Chiffre d'Affaires</t>
        </is>
      </c>
      <c r="C5" s="6" t="inlineStr">
        <is>
          <t>TJM × Jours/mois</t>
        </is>
      </c>
      <c r="D5" s="6" t="inlineStr">
        <is>
          <t>500 × 19</t>
        </is>
      </c>
      <c r="E5" s="6" t="inlineStr">
        <is>
          <t>9 500€</t>
        </is>
      </c>
    </row>
    <row r="6">
      <c r="A6" s="6" t="inlineStr">
        <is>
          <t>1.2</t>
        </is>
      </c>
      <c r="B6" s="6" t="inlineStr">
        <is>
          <t>Frais de gestion</t>
        </is>
      </c>
      <c r="C6" s="6" t="inlineStr">
        <is>
          <t>CA × Taux (%)</t>
        </is>
      </c>
      <c r="D6" s="6" t="inlineStr">
        <is>
          <t>9 500 × 5%</t>
        </is>
      </c>
      <c r="E6" s="6" t="inlineStr">
        <is>
          <t>475€</t>
        </is>
      </c>
    </row>
    <row r="7">
      <c r="A7" s="6" t="inlineStr">
        <is>
          <t>1.3</t>
        </is>
      </c>
      <c r="B7" s="6" t="inlineStr">
        <is>
          <t>Frais d'intermédiation</t>
        </is>
      </c>
      <c r="C7" s="6" t="inlineStr">
        <is>
          <t>CA × Taux (%)</t>
        </is>
      </c>
      <c r="D7" s="6" t="inlineStr">
        <is>
          <t>variable</t>
        </is>
      </c>
      <c r="E7" s="6" t="inlineStr">
        <is>
          <t>—</t>
        </is>
      </c>
    </row>
    <row r="8">
      <c r="A8" s="6" t="inlineStr">
        <is>
          <t>1.4</t>
        </is>
      </c>
      <c r="B8" s="6" t="inlineStr">
        <is>
          <t>Frais partagés</t>
        </is>
      </c>
      <c r="C8" s="6" t="inlineStr">
        <is>
          <t>CA × Taux (%)</t>
        </is>
      </c>
      <c r="D8" s="6" t="inlineStr">
        <is>
          <t>variable</t>
        </is>
      </c>
      <c r="E8" s="6" t="inlineStr">
        <is>
          <t>—</t>
        </is>
      </c>
    </row>
    <row r="9">
      <c r="A9" s="6" t="inlineStr">
        <is>
          <t>1.5</t>
        </is>
      </c>
      <c r="B9" s="6" t="inlineStr">
        <is>
          <t>Commission apporteur</t>
        </is>
      </c>
      <c r="C9" s="6" t="inlineStr">
        <is>
          <t>€ fixe ou CA × %</t>
        </is>
      </c>
      <c r="D9" s="6" t="inlineStr">
        <is>
          <t>variable</t>
        </is>
      </c>
      <c r="E9" s="6" t="inlineStr">
        <is>
          <t>—</t>
        </is>
      </c>
    </row>
    <row r="10">
      <c r="A10" s="7" t="inlineStr">
        <is>
          <t>1.6</t>
        </is>
      </c>
      <c r="B10" s="7" t="inlineStr">
        <is>
          <t>MONTANT DISPONIBLE</t>
        </is>
      </c>
      <c r="C10" s="7" t="inlineStr">
        <is>
          <t>CA - 1.2 - 1.3 - 1.4 - 1.5</t>
        </is>
      </c>
      <c r="D10" s="7" t="inlineStr">
        <is>
          <t>9 500 - 475</t>
        </is>
      </c>
      <c r="E10" s="7" t="inlineStr">
        <is>
          <t>9 025€</t>
        </is>
      </c>
    </row>
    <row r="12" ht="24" customHeight="1">
      <c r="A12" s="3" t="inlineStr">
        <is>
          <t>2. SALAIRE DE BASE (proratisé)</t>
        </is>
      </c>
      <c r="B12" s="4" t="n"/>
      <c r="C12" s="4" t="n"/>
      <c r="D12" s="4" t="n"/>
      <c r="E12" s="4" t="n"/>
    </row>
    <row r="13">
      <c r="A13" s="5" t="inlineStr">
        <is>
          <t>#</t>
        </is>
      </c>
      <c r="B13" s="5" t="inlineStr">
        <is>
          <t>Étape</t>
        </is>
      </c>
      <c r="C13" s="5" t="inlineStr">
        <is>
          <t>Formule</t>
        </is>
      </c>
      <c r="D13" s="5" t="inlineStr">
        <is>
          <t>Exemple</t>
        </is>
      </c>
      <c r="E13" s="5" t="inlineStr">
        <is>
          <t>Résultat</t>
        </is>
      </c>
    </row>
    <row r="14">
      <c r="A14" s="6" t="inlineStr">
        <is>
          <t>2.1</t>
        </is>
      </c>
      <c r="B14" s="6" t="inlineStr">
        <is>
          <t>Nb jours ouvrés du mois</t>
        </is>
      </c>
      <c r="C14" s="6" t="inlineStr">
        <is>
          <t>Table 2026 (ex: Mars = 22)</t>
        </is>
      </c>
      <c r="D14" s="6" t="inlineStr">
        <is>
          <t>22</t>
        </is>
      </c>
      <c r="E14" s="6" t="inlineStr">
        <is>
          <t>22</t>
        </is>
      </c>
    </row>
    <row r="15">
      <c r="A15" s="6" t="inlineStr">
        <is>
          <t>2.2</t>
        </is>
      </c>
      <c r="B15" s="6" t="inlineStr">
        <is>
          <t>Nb journées travaillées</t>
        </is>
      </c>
      <c r="C15" s="6" t="inlineStr">
        <is>
          <t>Saisie BU</t>
        </is>
      </c>
      <c r="D15" s="6" t="inlineStr">
        <is>
          <t>19</t>
        </is>
      </c>
      <c r="E15" s="6" t="inlineStr">
        <is>
          <t>19</t>
        </is>
      </c>
    </row>
    <row r="16">
      <c r="A16" s="6" t="inlineStr">
        <is>
          <t>2.3</t>
        </is>
      </c>
      <c r="B16" s="6" t="inlineStr">
        <is>
          <t>Salaire de base</t>
        </is>
      </c>
      <c r="C16" s="6" t="inlineStr">
        <is>
          <t>2 374 × Nb journées / Nb jours ouvrés</t>
        </is>
      </c>
      <c r="D16" s="6" t="inlineStr">
        <is>
          <t>2 374 × 19 / 22</t>
        </is>
      </c>
      <c r="E16" s="6" t="inlineStr">
        <is>
          <t>2 049,36€</t>
        </is>
      </c>
    </row>
    <row r="17">
      <c r="A17" s="6" t="inlineStr">
        <is>
          <t>2.4</t>
        </is>
      </c>
      <c r="B17" s="6" t="inlineStr">
        <is>
          <t>Prime d'apport</t>
        </is>
      </c>
      <c r="C17" s="6" t="inlineStr">
        <is>
          <t>Base × 5%</t>
        </is>
      </c>
      <c r="D17" s="6" t="inlineStr">
        <is>
          <t>2 049,36 × 5%</t>
        </is>
      </c>
      <c r="E17" s="6" t="inlineStr">
        <is>
          <t>102,47€</t>
        </is>
      </c>
    </row>
    <row r="19" ht="24" customHeight="1">
      <c r="A19" s="3" t="inlineStr">
        <is>
          <t>3. RÉSERVE FINANCIÈRE CDI</t>
        </is>
      </c>
      <c r="B19" s="4" t="n"/>
      <c r="C19" s="4" t="n"/>
      <c r="D19" s="4" t="n"/>
      <c r="E19" s="4" t="n"/>
    </row>
    <row r="20">
      <c r="A20" s="5" t="inlineStr">
        <is>
          <t>#</t>
        </is>
      </c>
      <c r="B20" s="5" t="inlineStr">
        <is>
          <t>Étape</t>
        </is>
      </c>
      <c r="C20" s="5" t="inlineStr">
        <is>
          <t>Formule</t>
        </is>
      </c>
      <c r="D20" s="5" t="inlineStr">
        <is>
          <t>Exemple</t>
        </is>
      </c>
      <c r="E20" s="5" t="inlineStr">
        <is>
          <t>Résultat</t>
        </is>
      </c>
    </row>
    <row r="21">
      <c r="A21" s="6" t="inlineStr">
        <is>
          <t>3.1</t>
        </is>
      </c>
      <c r="B21" s="6" t="inlineStr">
        <is>
          <t>Réserve financière</t>
        </is>
      </c>
      <c r="C21" s="6" t="inlineStr">
        <is>
          <t>Salaire de base × 10%</t>
        </is>
      </c>
      <c r="D21" s="6" t="inlineStr">
        <is>
          <t>2 374 × 10%</t>
        </is>
      </c>
      <c r="E21" s="6" t="inlineStr">
        <is>
          <t>237,40€</t>
        </is>
      </c>
    </row>
    <row r="22">
      <c r="A22" s="6" t="inlineStr">
        <is>
          <t>3.2</t>
        </is>
      </c>
      <c r="B22" s="6" t="inlineStr">
        <is>
          <t>Réserve (temps plein)</t>
        </is>
      </c>
      <c r="C22" s="6" t="inlineStr">
        <is>
          <t>Fixe, ne dépend PAS du complément</t>
        </is>
      </c>
      <c r="D22" s="6" t="inlineStr"/>
      <c r="E22" s="6" t="inlineStr">
        <is>
          <t>237,40€</t>
        </is>
      </c>
    </row>
    <row r="24" ht="24" customHeight="1">
      <c r="A24" s="3" t="inlineStr">
        <is>
          <t>4. CONVERGENCE ITÉRATIVE CDI (50 iter max)</t>
        </is>
      </c>
      <c r="B24" s="4" t="n"/>
      <c r="C24" s="4" t="n"/>
      <c r="D24" s="4" t="n"/>
      <c r="E24" s="4" t="n"/>
    </row>
    <row r="25">
      <c r="A25" s="5" t="inlineStr">
        <is>
          <t>#</t>
        </is>
      </c>
      <c r="B25" s="5" t="inlineStr">
        <is>
          <t>Étape</t>
        </is>
      </c>
      <c r="C25" s="5" t="inlineStr">
        <is>
          <t>Formule</t>
        </is>
      </c>
      <c r="D25" s="5" t="inlineStr">
        <is>
          <t>Détail</t>
        </is>
      </c>
      <c r="E25" s="5" t="inlineStr"/>
    </row>
    <row r="26">
      <c r="A26" s="6" t="inlineStr">
        <is>
          <t>4.1</t>
        </is>
      </c>
      <c r="B26" s="6" t="inlineStr">
        <is>
          <t>Budget salaire</t>
        </is>
      </c>
      <c r="C26" s="6" t="inlineStr">
        <is>
          <t>Montant dispo - Frais remboursés</t>
        </is>
      </c>
      <c r="D26" s="6" t="inlineStr"/>
      <c r="E26" s="6" t="inlineStr"/>
    </row>
    <row r="27">
      <c r="A27" s="6" t="inlineStr">
        <is>
          <t>4.2</t>
        </is>
      </c>
      <c r="B27" s="6" t="inlineStr">
        <is>
          <t>Taux initial</t>
        </is>
      </c>
      <c r="C27" s="6" t="inlineStr">
        <is>
          <t>0,55</t>
        </is>
      </c>
      <c r="D27" s="6" t="inlineStr">
        <is>
          <t>Point de départ</t>
        </is>
      </c>
      <c r="E27" s="6" t="inlineStr"/>
    </row>
    <row r="28">
      <c r="A28" s="6" t="inlineStr">
        <is>
          <t>4.3</t>
        </is>
      </c>
      <c r="B28" s="6" t="inlineStr">
        <is>
          <t>Pool</t>
        </is>
      </c>
      <c r="C28" s="6" t="inlineStr">
        <is>
          <t>Budget / (1 + taux)</t>
        </is>
      </c>
      <c r="D28" s="6" t="inlineStr"/>
      <c r="E28" s="6" t="inlineStr"/>
    </row>
    <row r="29">
      <c r="A29" s="6" t="inlineStr">
        <is>
          <t>4.4</t>
        </is>
      </c>
      <c r="B29" s="6" t="inlineStr">
        <is>
          <t>Complément total</t>
        </is>
      </c>
      <c r="C29" s="6" t="inlineStr">
        <is>
          <t>Pool - Base - Prime - Réserve</t>
        </is>
      </c>
      <c r="D29" s="6" t="inlineStr"/>
      <c r="E29" s="6" t="inlineStr"/>
    </row>
    <row r="30">
      <c r="A30" s="6" t="inlineStr">
        <is>
          <t>4.5</t>
        </is>
      </c>
      <c r="B30" s="6" t="inlineStr">
        <is>
          <t>Complément rémunération</t>
        </is>
      </c>
      <c r="C30" s="6" t="inlineStr">
        <is>
          <t>Complément total / 1,05</t>
        </is>
      </c>
      <c r="D30" s="6" t="inlineStr"/>
      <c r="E30" s="6" t="inlineStr"/>
    </row>
    <row r="31">
      <c r="A31" s="6" t="inlineStr">
        <is>
          <t>4.6</t>
        </is>
      </c>
      <c r="B31" s="6" t="inlineStr">
        <is>
          <t>Complément apport</t>
        </is>
      </c>
      <c r="C31" s="6" t="inlineStr">
        <is>
          <t>Complément total - Compl. rém.</t>
        </is>
      </c>
      <c r="D31" s="6" t="inlineStr"/>
      <c r="E31" s="6" t="inlineStr"/>
    </row>
    <row r="32">
      <c r="A32" s="6" t="inlineStr">
        <is>
          <t>4.7</t>
        </is>
      </c>
      <c r="B32" s="6" t="inlineStr">
        <is>
          <t>ICP (réintégrée)</t>
        </is>
      </c>
      <c r="C32" s="6" t="inlineStr">
        <is>
          <t>(Base+Prime+Réserve+Compl) × 10%</t>
        </is>
      </c>
      <c r="D32" s="6" t="inlineStr">
        <is>
          <t>Tout dans la base ICP</t>
        </is>
      </c>
      <c r="E32" s="6" t="inlineStr"/>
    </row>
    <row r="33">
      <c r="A33" s="6" t="inlineStr">
        <is>
          <t>4.8</t>
        </is>
      </c>
      <c r="B33" s="6" t="inlineStr">
        <is>
          <t>ICP (provisionnée)</t>
        </is>
      </c>
      <c r="C33" s="6" t="inlineStr">
        <is>
          <t>(Base+Prime+Compl) × 10%</t>
        </is>
      </c>
      <c r="D33" s="6" t="inlineStr">
        <is>
          <t>Réserve hors base</t>
        </is>
      </c>
      <c r="E33" s="6" t="inlineStr"/>
    </row>
    <row r="34">
      <c r="A34" s="6" t="inlineStr">
        <is>
          <t>4.9</t>
        </is>
      </c>
      <c r="B34" s="6" t="inlineStr">
        <is>
          <t>Brut</t>
        </is>
      </c>
      <c r="C34" s="6" t="inlineStr">
        <is>
          <t>Composantes + ICP</t>
        </is>
      </c>
      <c r="D34" s="6" t="inlineStr"/>
      <c r="E34" s="6" t="inlineStr"/>
    </row>
    <row r="35">
      <c r="A35" s="6" t="inlineStr">
        <is>
          <t>4.10</t>
        </is>
      </c>
      <c r="B35" s="6" t="inlineStr">
        <is>
          <t>Cotisations (24 lignes)</t>
        </is>
      </c>
      <c r="C35" s="6" t="inlineStr">
        <is>
          <t>Sur le brut</t>
        </is>
      </c>
      <c r="D35" s="6" t="inlineStr"/>
      <c r="E35" s="6" t="inlineStr"/>
    </row>
    <row r="36">
      <c r="A36" s="6" t="inlineStr">
        <is>
          <t>4.11</t>
        </is>
      </c>
      <c r="B36" s="6" t="inlineStr">
        <is>
          <t>Forfait social</t>
        </is>
      </c>
      <c r="C36" s="6" t="inlineStr">
        <is>
          <t>Prévoyance pat × 8%</t>
        </is>
      </c>
      <c r="D36" s="6" t="inlineStr"/>
      <c r="E36" s="6" t="inlineStr"/>
    </row>
    <row r="37">
      <c r="A37" s="6" t="inlineStr">
        <is>
          <t>4.12</t>
        </is>
      </c>
      <c r="B37" s="6" t="inlineStr">
        <is>
          <t>Nouveau taux</t>
        </is>
      </c>
      <c r="C37" s="6" t="inlineStr">
        <is>
          <t>Charges totales / Pool</t>
        </is>
      </c>
      <c r="D37" s="6" t="inlineStr"/>
      <c r="E37" s="6" t="inlineStr"/>
    </row>
    <row r="38">
      <c r="A38" s="6" t="inlineStr">
        <is>
          <t>4.13</t>
        </is>
      </c>
      <c r="B38" s="6" t="inlineStr">
        <is>
          <t>Convergence</t>
        </is>
      </c>
      <c r="C38" s="6" t="inlineStr">
        <is>
          <t>|nouveau - ancien| &lt; 0,00001</t>
        </is>
      </c>
      <c r="D38" s="6" t="inlineStr"/>
      <c r="E38" s="6" t="inlineStr"/>
    </row>
    <row r="40" ht="24" customHeight="1">
      <c r="A40" s="3" t="inlineStr">
        <is>
          <t>5. CHARGES &amp; NET CDI</t>
        </is>
      </c>
      <c r="B40" s="4" t="n"/>
      <c r="C40" s="4" t="n"/>
      <c r="D40" s="4" t="n"/>
      <c r="E40" s="4" t="n"/>
    </row>
    <row r="41">
      <c r="A41" s="5" t="inlineStr">
        <is>
          <t>#</t>
        </is>
      </c>
      <c r="B41" s="5" t="inlineStr">
        <is>
          <t>Étape</t>
        </is>
      </c>
      <c r="C41" s="5" t="inlineStr">
        <is>
          <t>Formule</t>
        </is>
      </c>
      <c r="D41" s="5" t="inlineStr"/>
      <c r="E41" s="5" t="inlineStr"/>
    </row>
    <row r="42">
      <c r="A42" s="6" t="inlineStr">
        <is>
          <t>5.1</t>
        </is>
      </c>
      <c r="B42" s="6" t="inlineStr">
        <is>
          <t>Charges patronales avant RGDU</t>
        </is>
      </c>
      <c r="C42" s="6" t="inlineStr">
        <is>
          <t>Cotis pat + Mutuelle pat + TR pat + Forfait social</t>
        </is>
      </c>
      <c r="D42" s="6" t="inlineStr"/>
      <c r="E42" s="6" t="inlineStr"/>
    </row>
    <row r="43">
      <c r="A43" s="6" t="inlineStr">
        <is>
          <t>5.2</t>
        </is>
      </c>
      <c r="B43" s="6" t="inlineStr">
        <is>
          <t>RGDU 2026</t>
        </is>
      </c>
      <c r="C43" s="6" t="inlineStr">
        <is>
          <t>Si brut annuel &lt; 3×SMIC → réduction</t>
        </is>
      </c>
      <c r="D43" s="6" t="inlineStr">
        <is>
          <t>Toujours appliquée</t>
        </is>
      </c>
      <c r="E43" s="6" t="inlineStr"/>
    </row>
    <row r="44">
      <c r="A44" s="6" t="inlineStr">
        <is>
          <t>5.3</t>
        </is>
      </c>
      <c r="B44" s="6" t="inlineStr">
        <is>
          <t>Charges patronales</t>
        </is>
      </c>
      <c r="C44" s="6" t="inlineStr">
        <is>
          <t>5.1 - RGDU</t>
        </is>
      </c>
      <c r="D44" s="6" t="inlineStr"/>
      <c r="E44" s="6" t="inlineStr"/>
    </row>
    <row r="45">
      <c r="A45" s="6" t="inlineStr">
        <is>
          <t>5.4</t>
        </is>
      </c>
      <c r="B45" s="6" t="inlineStr">
        <is>
          <t>Charges salariales</t>
        </is>
      </c>
      <c r="C45" s="6" t="inlineStr">
        <is>
          <t>Cotis sal + Mutuelle sal + TR sal</t>
        </is>
      </c>
      <c r="D45" s="6" t="inlineStr"/>
      <c r="E45" s="6" t="inlineStr"/>
    </row>
    <row r="46">
      <c r="A46" s="6" t="inlineStr">
        <is>
          <t>5.5</t>
        </is>
      </c>
      <c r="B46" s="6" t="inlineStr">
        <is>
          <t>Net avant impôt</t>
        </is>
      </c>
      <c r="C46" s="6" t="inlineStr">
        <is>
          <t>Brut - Charges salariales</t>
        </is>
      </c>
      <c r="D46" s="6" t="inlineStr"/>
      <c r="E46" s="6" t="inlineStr"/>
    </row>
    <row r="47">
      <c r="A47" s="6" t="inlineStr">
        <is>
          <t>5.6</t>
        </is>
      </c>
      <c r="B47" s="6" t="inlineStr">
        <is>
          <t>Net à payer</t>
        </is>
      </c>
      <c r="C47" s="6" t="inlineStr">
        <is>
          <t>Net avant impôt + Frais remboursés</t>
        </is>
      </c>
      <c r="D47" s="6" t="inlineStr"/>
      <c r="E47" s="6" t="inlineStr"/>
    </row>
    <row r="48">
      <c r="A48" s="6" t="inlineStr">
        <is>
          <t>5.7</t>
        </is>
      </c>
      <c r="B48" s="6" t="inlineStr">
        <is>
          <t>Coût global</t>
        </is>
      </c>
      <c r="C48" s="6" t="inlineStr">
        <is>
          <t>Brut + Charges pat + Frais</t>
        </is>
      </c>
      <c r="D48" s="6" t="inlineStr"/>
      <c r="E48" s="6" t="inlineStr"/>
    </row>
    <row r="49">
      <c r="A49" s="6" t="inlineStr">
        <is>
          <t>5.8</t>
        </is>
      </c>
      <c r="B49" s="6" t="inlineStr">
        <is>
          <t>Provision réserve</t>
        </is>
      </c>
      <c r="C49" s="6" t="inlineStr">
        <is>
          <t>Budget - Brut - Charges pat (si provisionnée)</t>
        </is>
      </c>
      <c r="D49" s="6" t="inlineStr"/>
      <c r="E49" s="6" t="inlineStr"/>
    </row>
  </sheetData>
  <mergeCells count="6">
    <mergeCell ref="A12:E12"/>
    <mergeCell ref="A24:E24"/>
    <mergeCell ref="A19:E19"/>
    <mergeCell ref="A1:E1"/>
    <mergeCell ref="A40:E40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30" customWidth="1" min="4" max="4"/>
    <col width="20" customWidth="1" min="5" max="5"/>
  </cols>
  <sheetData>
    <row r="1" ht="28" customHeight="1">
      <c r="A1" s="1" t="inlineStr">
        <is>
          <t>CDD — TOUS LES CALCULS (DIFFÉRENCES AVEC CDI)</t>
        </is>
      </c>
      <c r="B1" s="2" t="n"/>
      <c r="C1" s="2" t="n"/>
      <c r="D1" s="2" t="n"/>
      <c r="E1" s="2" t="n"/>
    </row>
    <row r="3" ht="24" customHeight="1">
      <c r="A3" s="3" t="inlineStr">
        <is>
          <t>1. INDEMNITÉ DE PRÉCARITÉ CDD (remplace Réserve)</t>
        </is>
      </c>
      <c r="B3" s="4" t="n"/>
      <c r="C3" s="4" t="n"/>
      <c r="D3" s="4" t="n"/>
      <c r="E3" s="4" t="n"/>
    </row>
    <row r="4">
      <c r="A4" s="5" t="inlineStr">
        <is>
          <t>#</t>
        </is>
      </c>
      <c r="B4" s="5" t="inlineStr">
        <is>
          <t>Étape</t>
        </is>
      </c>
      <c r="C4" s="5" t="inlineStr">
        <is>
          <t>Formule CDD</t>
        </is>
      </c>
      <c r="D4" s="5" t="inlineStr">
        <is>
          <t>vs CDI</t>
        </is>
      </c>
      <c r="E4" s="5" t="inlineStr">
        <is>
          <t>Impact</t>
        </is>
      </c>
    </row>
    <row r="5">
      <c r="A5" s="8" t="inlineStr">
        <is>
          <t>1.1</t>
        </is>
      </c>
      <c r="B5" s="8" t="inlineStr">
        <is>
          <t>Indemnité de précarité</t>
        </is>
      </c>
      <c r="C5" s="8" t="inlineStr">
        <is>
          <t>(Base + Prime + Compl. rém + Compl. apport) × 10%</t>
        </is>
      </c>
      <c r="D5" s="8" t="inlineStr">
        <is>
          <t>CDI: Base × 10% = fixe</t>
        </is>
      </c>
      <c r="E5" s="8" t="inlineStr">
        <is>
          <t>CIRCULAIRE</t>
        </is>
      </c>
    </row>
    <row r="6">
      <c r="A6" s="8" t="inlineStr">
        <is>
          <t>1.2</t>
        </is>
      </c>
      <c r="B6" s="8" t="inlineStr">
        <is>
          <t>Dépendance circulaire</t>
        </is>
      </c>
      <c r="C6" s="8" t="inlineStr">
        <is>
          <t>Précarité dépend du complément qui dépend de la précarité</t>
        </is>
      </c>
      <c r="D6" s="8" t="inlineStr">
        <is>
          <t>CDI: réserve fixe</t>
        </is>
      </c>
      <c r="E6" s="8" t="inlineStr">
        <is>
          <t>Résolu par facteur</t>
        </is>
      </c>
    </row>
    <row r="8" ht="24" customHeight="1">
      <c r="A8" s="3" t="inlineStr">
        <is>
          <t>2. FACTEUR CASCADE 1.2705</t>
        </is>
      </c>
      <c r="B8" s="4" t="n"/>
      <c r="C8" s="4" t="n"/>
      <c r="D8" s="4" t="n"/>
      <c r="E8" s="4" t="n"/>
    </row>
    <row r="9">
      <c r="A9" s="5" t="inlineStr">
        <is>
          <t>#</t>
        </is>
      </c>
      <c r="B9" s="5" t="inlineStr">
        <is>
          <t>Composante</t>
        </is>
      </c>
      <c r="C9" s="5" t="inlineStr">
        <is>
          <t>Calcul</t>
        </is>
      </c>
      <c r="D9" s="5" t="inlineStr">
        <is>
          <t>Facteur</t>
        </is>
      </c>
      <c r="E9" s="5" t="inlineStr">
        <is>
          <t>Cumulé</t>
        </is>
      </c>
    </row>
    <row r="10">
      <c r="A10" s="6" t="inlineStr">
        <is>
          <t>2.1</t>
        </is>
      </c>
      <c r="B10" s="6" t="inlineStr">
        <is>
          <t>Complément rémunération</t>
        </is>
      </c>
      <c r="C10" s="6" t="inlineStr">
        <is>
          <t>× 1</t>
        </is>
      </c>
      <c r="D10" s="6" t="inlineStr">
        <is>
          <t>1,0000</t>
        </is>
      </c>
      <c r="E10" s="6" t="inlineStr">
        <is>
          <t>1,0000</t>
        </is>
      </c>
    </row>
    <row r="11">
      <c r="A11" s="6" t="inlineStr">
        <is>
          <t>2.2</t>
        </is>
      </c>
      <c r="B11" s="6" t="inlineStr">
        <is>
          <t>+ Apport d'affaires (5%)</t>
        </is>
      </c>
      <c r="C11" s="6" t="inlineStr">
        <is>
          <t>compl_rem × 5%</t>
        </is>
      </c>
      <c r="D11" s="6" t="inlineStr">
        <is>
          <t>0,0500</t>
        </is>
      </c>
      <c r="E11" s="6" t="inlineStr">
        <is>
          <t>1,0500</t>
        </is>
      </c>
    </row>
    <row r="12">
      <c r="A12" s="6" t="inlineStr">
        <is>
          <t>2.3</t>
        </is>
      </c>
      <c r="B12" s="6" t="inlineStr">
        <is>
          <t>+ Précarité marginale</t>
        </is>
      </c>
      <c r="C12" s="6" t="inlineStr">
        <is>
          <t>(compl_rem + apport) × 10% = 1,05 × 10%</t>
        </is>
      </c>
      <c r="D12" s="6" t="inlineStr">
        <is>
          <t>0,1050</t>
        </is>
      </c>
      <c r="E12" s="6" t="inlineStr">
        <is>
          <t>1,1550</t>
        </is>
      </c>
    </row>
    <row r="13">
      <c r="A13" s="8" t="inlineStr">
        <is>
          <t>2.4</t>
        </is>
      </c>
      <c r="B13" s="8" t="inlineStr">
        <is>
          <t>+ CP marginaux</t>
        </is>
      </c>
      <c r="C13" s="8" t="inlineStr">
        <is>
          <t>(compl + apport + préca) × 10% = 1,155 × 10%</t>
        </is>
      </c>
      <c r="D13" s="8" t="inlineStr">
        <is>
          <t>0,1155</t>
        </is>
      </c>
      <c r="E13" s="8" t="inlineStr">
        <is>
          <t>1,2705</t>
        </is>
      </c>
    </row>
    <row r="15">
      <c r="A15" s="9" t="inlineStr">
        <is>
          <t>LE 1.2705 signifie : pour chaque euro de complément rém., le coût total est 1,2705€</t>
        </is>
      </c>
      <c r="B15" s="10" t="n"/>
      <c r="C15" s="10" t="n"/>
      <c r="D15" s="10" t="n"/>
      <c r="E15" s="10" t="n"/>
    </row>
    <row r="17" ht="24" customHeight="1">
      <c r="A17" s="3" t="inlineStr">
        <is>
          <t>3. FORMULE COMPLÉMENT CDD</t>
        </is>
      </c>
      <c r="B17" s="4" t="n"/>
      <c r="C17" s="4" t="n"/>
      <c r="D17" s="4" t="n"/>
      <c r="E17" s="4" t="n"/>
    </row>
    <row r="18">
      <c r="A18" s="5" t="inlineStr">
        <is>
          <t>#</t>
        </is>
      </c>
      <c r="B18" s="5" t="inlineStr">
        <is>
          <t>Étape</t>
        </is>
      </c>
      <c r="C18" s="5" t="inlineStr">
        <is>
          <t>Formule</t>
        </is>
      </c>
      <c r="D18" s="5" t="inlineStr">
        <is>
          <t>Détail</t>
        </is>
      </c>
      <c r="E18" s="5" t="inlineStr"/>
    </row>
    <row r="19">
      <c r="A19" s="6" t="inlineStr">
        <is>
          <t>3.1</t>
        </is>
      </c>
      <c r="B19" s="6" t="inlineStr">
        <is>
          <t>Pool</t>
        </is>
      </c>
      <c r="C19" s="6" t="inlineStr">
        <is>
          <t>Budget / (1 + taux_charges)</t>
        </is>
      </c>
      <c r="D19" s="6" t="inlineStr">
        <is>
          <t>Comme CDI</t>
        </is>
      </c>
      <c r="E19" s="6" t="inlineStr"/>
    </row>
    <row r="20">
      <c r="A20" s="6" t="inlineStr">
        <is>
          <t>3.2</t>
        </is>
      </c>
      <c r="B20" s="6" t="inlineStr">
        <is>
          <t>Précarité fixe (sur base+prime)</t>
        </is>
      </c>
      <c r="C20" s="6" t="inlineStr">
        <is>
          <t>(Base + Prime) × 10%</t>
        </is>
      </c>
      <c r="D20" s="6">
        <f> 249,27€</f>
        <v/>
      </c>
      <c r="E20" s="6" t="inlineStr"/>
    </row>
    <row r="21">
      <c r="A21" s="6" t="inlineStr">
        <is>
          <t>3.3</t>
        </is>
      </c>
      <c r="B21" s="6" t="inlineStr">
        <is>
          <t>CP fixe (sur base+prime+préca)</t>
        </is>
      </c>
      <c r="C21" s="6" t="inlineStr">
        <is>
          <t>(Base + Prime + Préca fixe) × 10%</t>
        </is>
      </c>
      <c r="D21" s="6">
        <f> 274,20€</f>
        <v/>
      </c>
      <c r="E21" s="6" t="inlineStr"/>
    </row>
    <row r="22">
      <c r="A22" s="6" t="inlineStr">
        <is>
          <t>3.4</t>
        </is>
      </c>
      <c r="B22" s="6" t="inlineStr">
        <is>
          <t>Restant pour complément</t>
        </is>
      </c>
      <c r="C22" s="6" t="inlineStr">
        <is>
          <t>Pool - Base - Prime - Préca fixe - CP fixe</t>
        </is>
      </c>
      <c r="D22" s="6" t="inlineStr"/>
      <c r="E22" s="6" t="inlineStr"/>
    </row>
    <row r="23">
      <c r="A23" s="7" t="inlineStr">
        <is>
          <t>3.5</t>
        </is>
      </c>
      <c r="B23" s="7" t="inlineStr">
        <is>
          <t>COMPLÉMENT RÉMUNÉRATION</t>
        </is>
      </c>
      <c r="C23" s="7" t="inlineStr">
        <is>
          <t>Restant / 1,2705</t>
        </is>
      </c>
      <c r="D23" s="7" t="inlineStr">
        <is>
          <t>FORMULE CLÉ CDD</t>
        </is>
      </c>
      <c r="E23" s="7" t="inlineStr"/>
    </row>
    <row r="24">
      <c r="A24" s="6" t="inlineStr">
        <is>
          <t>3.6</t>
        </is>
      </c>
      <c r="B24" s="6" t="inlineStr">
        <is>
          <t>Complément apport</t>
        </is>
      </c>
      <c r="C24" s="6" t="inlineStr">
        <is>
          <t>Compl. rém × 5%</t>
        </is>
      </c>
      <c r="D24" s="6" t="inlineStr"/>
      <c r="E24" s="6" t="inlineStr"/>
    </row>
    <row r="25">
      <c r="A25" s="6" t="inlineStr">
        <is>
          <t>3.7</t>
        </is>
      </c>
      <c r="B25" s="6" t="inlineStr">
        <is>
          <t>Complément total</t>
        </is>
      </c>
      <c r="C25" s="6" t="inlineStr">
        <is>
          <t>Compl. rém + Compl. apport</t>
        </is>
      </c>
      <c r="D25" s="6" t="inlineStr"/>
      <c r="E25" s="6" t="inlineStr"/>
    </row>
    <row r="26">
      <c r="A26" s="6" t="inlineStr">
        <is>
          <t>3.8</t>
        </is>
      </c>
      <c r="B26" s="6" t="inlineStr">
        <is>
          <t>Précarité RÉELLE</t>
        </is>
      </c>
      <c r="C26" s="6" t="inlineStr">
        <is>
          <t>(Base + Prime + Compl. total) × 10%</t>
        </is>
      </c>
      <c r="D26" s="6" t="inlineStr">
        <is>
          <t>Inclut le complément</t>
        </is>
      </c>
      <c r="E26" s="6" t="inlineStr"/>
    </row>
    <row r="28" ht="24" customHeight="1">
      <c r="A28" s="3" t="inlineStr">
        <is>
          <t>4. ICP (CONGÉS PAYÉS) CDD</t>
        </is>
      </c>
      <c r="B28" s="4" t="n"/>
      <c r="C28" s="4" t="n"/>
      <c r="D28" s="4" t="n"/>
      <c r="E28" s="4" t="n"/>
    </row>
    <row r="29">
      <c r="A29" s="5" t="inlineStr">
        <is>
          <t>#</t>
        </is>
      </c>
      <c r="B29" s="5" t="inlineStr">
        <is>
          <t>Cas</t>
        </is>
      </c>
      <c r="C29" s="5" t="inlineStr">
        <is>
          <t>Formule CDD</t>
        </is>
      </c>
      <c r="D29" s="5" t="inlineStr">
        <is>
          <t>vs CDI</t>
        </is>
      </c>
      <c r="E29" s="5" t="inlineStr">
        <is>
          <t>Impact</t>
        </is>
      </c>
    </row>
    <row r="30">
      <c r="A30" s="6" t="inlineStr">
        <is>
          <t>4.1</t>
        </is>
      </c>
      <c r="B30" s="6" t="inlineStr">
        <is>
          <t>ICP CDD (réintégrée)</t>
        </is>
      </c>
      <c r="C30" s="6" t="inlineStr">
        <is>
          <t>(Base + Prime + Compl + Apport + Précarité) × 10%</t>
        </is>
      </c>
      <c r="D30" s="6" t="inlineStr">
        <is>
          <t>CDI: idem (tout)</t>
        </is>
      </c>
      <c r="E30" s="6" t="inlineStr">
        <is>
          <t>IDENTIQUE</t>
        </is>
      </c>
    </row>
    <row r="31">
      <c r="A31" s="6" t="inlineStr">
        <is>
          <t>4.2</t>
        </is>
      </c>
      <c r="B31" s="6" t="inlineStr">
        <is>
          <t>ICP CDD (provisionnée)</t>
        </is>
      </c>
      <c r="C31" s="6" t="inlineStr">
        <is>
          <t>(Base + Prime + Compl) × 10%</t>
        </is>
      </c>
      <c r="D31" s="6" t="inlineStr">
        <is>
          <t>CDI: idem</t>
        </is>
      </c>
      <c r="E31" s="6" t="inlineStr">
        <is>
          <t>IDENTIQUE</t>
        </is>
      </c>
    </row>
    <row r="33">
      <c r="A33" s="9" t="inlineStr">
        <is>
          <t>IMPORTANT : ICP CDD est sur TOUT (base+prime+compl+apport+précarité), PAS seulement base+prime+préca</t>
        </is>
      </c>
      <c r="B33" s="10" t="n"/>
      <c r="C33" s="10" t="n"/>
      <c r="D33" s="10" t="n"/>
      <c r="E33" s="10" t="n"/>
    </row>
    <row r="35" ht="24" customHeight="1">
      <c r="A35" s="3" t="inlineStr">
        <is>
          <t>5. CONTRIBUTION CPF-CDD (cotisation supplémentaire)</t>
        </is>
      </c>
      <c r="B35" s="4" t="n"/>
      <c r="C35" s="4" t="n"/>
      <c r="D35" s="4" t="n"/>
      <c r="E35" s="4" t="n"/>
    </row>
    <row r="36">
      <c r="A36" s="5" t="inlineStr">
        <is>
          <t>#</t>
        </is>
      </c>
      <c r="B36" s="5" t="inlineStr">
        <is>
          <t>Cotisation</t>
        </is>
      </c>
      <c r="C36" s="5" t="inlineStr">
        <is>
          <t>Formule</t>
        </is>
      </c>
      <c r="D36" s="5" t="inlineStr">
        <is>
          <t>Taux</t>
        </is>
      </c>
      <c r="E36" s="5" t="inlineStr">
        <is>
          <t>Base</t>
        </is>
      </c>
    </row>
    <row r="37">
      <c r="A37" s="8" t="inlineStr">
        <is>
          <t>5.1</t>
        </is>
      </c>
      <c r="B37" s="8" t="inlineStr">
        <is>
          <t>CPF-CDD (C003)</t>
        </is>
      </c>
      <c r="C37" s="8" t="inlineStr">
        <is>
          <t>Brut × 1%</t>
        </is>
      </c>
      <c r="D37" s="8" t="inlineStr">
        <is>
          <t>1,00% patronal</t>
        </is>
      </c>
      <c r="E37" s="8" t="inlineStr">
        <is>
          <t>TOTALITÉ du brut</t>
        </is>
      </c>
    </row>
    <row r="38">
      <c r="A38" s="8" t="inlineStr">
        <is>
          <t>5.2</t>
        </is>
      </c>
      <c r="B38" s="8" t="inlineStr">
        <is>
          <t>Impact</t>
        </is>
      </c>
      <c r="C38" s="8" t="inlineStr">
        <is>
          <t>Augmente les charges patronales CDD</t>
        </is>
      </c>
      <c r="D38" s="8" t="inlineStr">
        <is>
          <t>CDD uniquement</t>
        </is>
      </c>
      <c r="E38" s="8" t="inlineStr"/>
    </row>
    <row r="40" ht="24" customHeight="1">
      <c r="A40" s="3" t="inlineStr">
        <is>
          <t>6. EXEMPLE COMPLET CDD (TJM 500€, 19j, 5% gestion, réintégrée)</t>
        </is>
      </c>
      <c r="B40" s="4" t="n"/>
      <c r="C40" s="4" t="n"/>
      <c r="D40" s="4" t="n"/>
      <c r="E40" s="4" t="n"/>
    </row>
    <row r="41">
      <c r="A41" s="5" t="inlineStr">
        <is>
          <t>#</t>
        </is>
      </c>
      <c r="B41" s="5" t="inlineStr">
        <is>
          <t>Ligne</t>
        </is>
      </c>
      <c r="C41" s="5" t="inlineStr">
        <is>
          <t>Formule</t>
        </is>
      </c>
      <c r="D41" s="5" t="inlineStr">
        <is>
          <t>Calcul</t>
        </is>
      </c>
      <c r="E41" s="5" t="inlineStr">
        <is>
          <t>Résultat</t>
        </is>
      </c>
    </row>
    <row r="42">
      <c r="A42" s="6" t="inlineStr">
        <is>
          <t>6.1</t>
        </is>
      </c>
      <c r="B42" s="6" t="inlineStr">
        <is>
          <t>Salaire de base</t>
        </is>
      </c>
      <c r="C42" s="6" t="inlineStr">
        <is>
          <t>Fixe</t>
        </is>
      </c>
      <c r="D42" s="6" t="inlineStr"/>
      <c r="E42" s="6" t="inlineStr">
        <is>
          <t>2 374,00€</t>
        </is>
      </c>
    </row>
    <row r="43">
      <c r="A43" s="6" t="inlineStr">
        <is>
          <t>6.2</t>
        </is>
      </c>
      <c r="B43" s="6" t="inlineStr">
        <is>
          <t>Prime d'apport</t>
        </is>
      </c>
      <c r="C43" s="6" t="inlineStr">
        <is>
          <t>Base × 5%</t>
        </is>
      </c>
      <c r="D43" s="6" t="inlineStr">
        <is>
          <t>2 374 × 5%</t>
        </is>
      </c>
      <c r="E43" s="6" t="inlineStr">
        <is>
          <t>118,70€</t>
        </is>
      </c>
    </row>
    <row r="44">
      <c r="A44" s="6" t="inlineStr">
        <is>
          <t>6.3</t>
        </is>
      </c>
      <c r="B44" s="6" t="inlineStr">
        <is>
          <t>Précarité fixe</t>
        </is>
      </c>
      <c r="C44" s="6" t="inlineStr">
        <is>
          <t>(Base + Prime) × 10%</t>
        </is>
      </c>
      <c r="D44" s="6" t="inlineStr">
        <is>
          <t>(2 374 + 118,70) × 10%</t>
        </is>
      </c>
      <c r="E44" s="6" t="inlineStr">
        <is>
          <t>249,27€</t>
        </is>
      </c>
    </row>
    <row r="45">
      <c r="A45" s="6" t="inlineStr">
        <is>
          <t>6.4</t>
        </is>
      </c>
      <c r="B45" s="6" t="inlineStr">
        <is>
          <t>CP fixe</t>
        </is>
      </c>
      <c r="C45" s="6" t="inlineStr">
        <is>
          <t>(Base + Prime + Préca) × 10%</t>
        </is>
      </c>
      <c r="D45" s="6" t="inlineStr">
        <is>
          <t>(2 374 + 118,70 + 249,27) × 10%</t>
        </is>
      </c>
      <c r="E45" s="6" t="inlineStr">
        <is>
          <t>274,20€</t>
        </is>
      </c>
    </row>
    <row r="46">
      <c r="A46" s="6" t="inlineStr">
        <is>
          <t>6.5</t>
        </is>
      </c>
      <c r="B46" s="6" t="inlineStr">
        <is>
          <t>Pool (après convergence)</t>
        </is>
      </c>
      <c r="C46" s="6" t="inlineStr">
        <is>
          <t>Budget / (1 + taux)</t>
        </is>
      </c>
      <c r="D46" s="6" t="inlineStr">
        <is>
          <t>Convergence...</t>
        </is>
      </c>
      <c r="E46" s="6" t="inlineStr">
        <is>
          <t>≈ 5 700€</t>
        </is>
      </c>
    </row>
    <row r="47">
      <c r="A47" s="6" t="inlineStr">
        <is>
          <t>6.6</t>
        </is>
      </c>
      <c r="B47" s="6" t="inlineStr">
        <is>
          <t>Restant</t>
        </is>
      </c>
      <c r="C47" s="6" t="inlineStr">
        <is>
          <t>Pool - Base - Prime - Préca - CP</t>
        </is>
      </c>
      <c r="D47" s="6" t="inlineStr">
        <is>
          <t>5 700 - 2 374 - 118,70 - 249,27 - 274,20</t>
        </is>
      </c>
      <c r="E47" s="6" t="inlineStr">
        <is>
          <t>≈ 2 683,83€</t>
        </is>
      </c>
    </row>
    <row r="48">
      <c r="A48" s="6" t="inlineStr">
        <is>
          <t>6.7</t>
        </is>
      </c>
      <c r="B48" s="6" t="inlineStr">
        <is>
          <t>Complément rémunération</t>
        </is>
      </c>
      <c r="C48" s="6" t="inlineStr">
        <is>
          <t>Restant / 1,2705</t>
        </is>
      </c>
      <c r="D48" s="6" t="inlineStr">
        <is>
          <t>2 683,83 / 1,2705</t>
        </is>
      </c>
      <c r="E48" s="6" t="inlineStr">
        <is>
          <t>≈ 2 112,82€</t>
        </is>
      </c>
    </row>
    <row r="49">
      <c r="A49" s="6" t="inlineStr">
        <is>
          <t>6.8</t>
        </is>
      </c>
      <c r="B49" s="6" t="inlineStr">
        <is>
          <t>Complément apport</t>
        </is>
      </c>
      <c r="C49" s="6" t="inlineStr">
        <is>
          <t>Compl. rém × 5%</t>
        </is>
      </c>
      <c r="D49" s="6" t="inlineStr">
        <is>
          <t>2 112,82 × 5%</t>
        </is>
      </c>
      <c r="E49" s="6" t="inlineStr">
        <is>
          <t>≈ 105,64€</t>
        </is>
      </c>
    </row>
    <row r="50">
      <c r="A50" s="6" t="inlineStr">
        <is>
          <t>6.9</t>
        </is>
      </c>
      <c r="B50" s="6" t="inlineStr">
        <is>
          <t>Complément total</t>
        </is>
      </c>
      <c r="C50" s="6" t="inlineStr">
        <is>
          <t>Rém + Apport</t>
        </is>
      </c>
      <c r="D50" s="6" t="inlineStr"/>
      <c r="E50" s="6" t="inlineStr">
        <is>
          <t>≈ 2 218,46€</t>
        </is>
      </c>
    </row>
    <row r="51">
      <c r="A51" s="6" t="inlineStr">
        <is>
          <t>6.10</t>
        </is>
      </c>
      <c r="B51" s="6" t="inlineStr">
        <is>
          <t>Précarité RÉELLE</t>
        </is>
      </c>
      <c r="C51" s="6" t="inlineStr">
        <is>
          <t>(Base+Prime+CT) × 10%</t>
        </is>
      </c>
      <c r="D51" s="6" t="inlineStr">
        <is>
          <t>(2 374+118,70+2 218,46) × 10%</t>
        </is>
      </c>
      <c r="E51" s="6" t="inlineStr">
        <is>
          <t>≈ 471,12€</t>
        </is>
      </c>
    </row>
    <row r="52">
      <c r="A52" s="6" t="inlineStr">
        <is>
          <t>6.11</t>
        </is>
      </c>
      <c r="B52" s="6" t="inlineStr">
        <is>
          <t>ICP</t>
        </is>
      </c>
      <c r="C52" s="6" t="inlineStr">
        <is>
          <t>(Base+Prime+CT+Préca) × 10%</t>
        </is>
      </c>
      <c r="D52" s="6" t="inlineStr">
        <is>
          <t>Tout × 10%</t>
        </is>
      </c>
      <c r="E52" s="6" t="inlineStr">
        <is>
          <t>≈ 518,23€</t>
        </is>
      </c>
    </row>
    <row r="53">
      <c r="A53" s="7" t="inlineStr">
        <is>
          <t>6.12</t>
        </is>
      </c>
      <c r="B53" s="7" t="inlineStr">
        <is>
          <t>BRUT</t>
        </is>
      </c>
      <c r="C53" s="7" t="inlineStr">
        <is>
          <t>Base+Prime+CT+Préca+ICP</t>
        </is>
      </c>
      <c r="D53" s="7" t="inlineStr"/>
      <c r="E53" s="7" t="inlineStr">
        <is>
          <t>≈ 5 700,51€</t>
        </is>
      </c>
    </row>
    <row r="54">
      <c r="A54" s="6" t="inlineStr">
        <is>
          <t>6.13</t>
        </is>
      </c>
      <c r="B54" s="6" t="inlineStr">
        <is>
          <t>CPF-CDD</t>
        </is>
      </c>
      <c r="C54" s="6" t="inlineStr">
        <is>
          <t>Brut × 1%</t>
        </is>
      </c>
      <c r="D54" s="6" t="inlineStr"/>
      <c r="E54" s="6" t="inlineStr">
        <is>
          <t>≈ 57,01€</t>
        </is>
      </c>
    </row>
  </sheetData>
  <mergeCells count="9">
    <mergeCell ref="A35:E35"/>
    <mergeCell ref="A15:E15"/>
    <mergeCell ref="A28:E28"/>
    <mergeCell ref="A33:E33"/>
    <mergeCell ref="A40:E40"/>
    <mergeCell ref="A1:E1"/>
    <mergeCell ref="A8:E8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15" customWidth="1" min="4" max="4"/>
  </cols>
  <sheetData>
    <row r="1" ht="28" customHeight="1">
      <c r="A1" s="1" t="inlineStr">
        <is>
          <t>COMPARATIF CDI vs CDD — FORMULES</t>
        </is>
      </c>
      <c r="B1" s="2" t="n"/>
      <c r="C1" s="2" t="n"/>
      <c r="D1" s="2" t="n"/>
    </row>
    <row r="3">
      <c r="A3" s="5" t="inlineStr">
        <is>
          <t>Élément</t>
        </is>
      </c>
      <c r="B3" s="5" t="inlineStr">
        <is>
          <t>CDI</t>
        </is>
      </c>
      <c r="C3" s="5" t="inlineStr">
        <is>
          <t>CDD</t>
        </is>
      </c>
      <c r="D3" s="5" t="inlineStr">
        <is>
          <t>Diff</t>
        </is>
      </c>
    </row>
    <row r="4">
      <c r="A4" s="8" t="inlineStr">
        <is>
          <t>Réserve / Précarité</t>
        </is>
      </c>
      <c r="B4" s="8" t="inlineStr">
        <is>
          <t>Base × 10% = FIXE</t>
        </is>
      </c>
      <c r="C4" s="8" t="inlineStr">
        <is>
          <t>(Base+Prime+Compl) × 10% = VARIABLE</t>
        </is>
      </c>
      <c r="D4" s="8" t="inlineStr">
        <is>
          <t>Formule ≠</t>
        </is>
      </c>
    </row>
    <row r="5">
      <c r="A5" s="8" t="inlineStr">
        <is>
          <t>Résolution complément</t>
        </is>
      </c>
      <c r="B5" s="8" t="inlineStr">
        <is>
          <t>Pool - Base - Prime - Réserve</t>
        </is>
      </c>
      <c r="C5" s="8" t="inlineStr">
        <is>
          <t>(Pool - Base - Prime - PrécaFixe - CPFixe) / 1.2705</t>
        </is>
      </c>
      <c r="D5" s="8" t="inlineStr">
        <is>
          <t>Facteur ≠</t>
        </is>
      </c>
    </row>
    <row r="6">
      <c r="A6" s="6" t="inlineStr">
        <is>
          <t>Facteur cascade</t>
        </is>
      </c>
      <c r="B6" s="6" t="inlineStr">
        <is>
          <t>N/A (réserve fixe)</t>
        </is>
      </c>
      <c r="C6" s="6" t="inlineStr">
        <is>
          <t>1.2705 = 1+5%+10.5%+11.55%</t>
        </is>
      </c>
      <c r="D6" s="6" t="inlineStr">
        <is>
          <t>CDD only</t>
        </is>
      </c>
    </row>
    <row r="7">
      <c r="A7" s="6" t="inlineStr">
        <is>
          <t>ICP (réintégrée)</t>
        </is>
      </c>
      <c r="B7" s="6" t="inlineStr">
        <is>
          <t>(Base+Prime+Réserve+Compl) × 10%</t>
        </is>
      </c>
      <c r="C7" s="6" t="inlineStr">
        <is>
          <t>(Base+Prime+Compl+Apport+Préca) × 10%</t>
        </is>
      </c>
      <c r="D7" s="6">
        <f> brut_base×10%</f>
        <v/>
      </c>
    </row>
    <row r="8">
      <c r="A8" s="6" t="inlineStr">
        <is>
          <t>ICP (provisionnée)</t>
        </is>
      </c>
      <c r="B8" s="6" t="inlineStr">
        <is>
          <t>(Base+Prime+Compl) × 10%</t>
        </is>
      </c>
      <c r="C8" s="6" t="inlineStr">
        <is>
          <t>(Base+Prime+Compl) × 10%</t>
        </is>
      </c>
      <c r="D8" s="6" t="inlineStr">
        <is>
          <t>Identique</t>
        </is>
      </c>
    </row>
    <row r="9">
      <c r="A9" s="8" t="inlineStr">
        <is>
          <t>CPF-CDD</t>
        </is>
      </c>
      <c r="B9" s="8" t="inlineStr">
        <is>
          <t>N/A</t>
        </is>
      </c>
      <c r="C9" s="8" t="inlineStr">
        <is>
          <t>Brut × 1% (patronal)</t>
        </is>
      </c>
      <c r="D9" s="8" t="inlineStr">
        <is>
          <t>+1% charges</t>
        </is>
      </c>
    </row>
    <row r="10">
      <c r="A10" s="8" t="inlineStr">
        <is>
          <t>Provision</t>
        </is>
      </c>
      <c r="B10" s="8" t="inlineStr">
        <is>
          <t>Provision Réserve Financière</t>
        </is>
      </c>
      <c r="C10" s="8" t="inlineStr">
        <is>
          <t>Provision Indemnité de Précarité</t>
        </is>
      </c>
      <c r="D10" s="8" t="inlineStr">
        <is>
          <t>Label ≠</t>
        </is>
      </c>
    </row>
    <row r="11">
      <c r="A11" s="8" t="inlineStr">
        <is>
          <t>Charges pat</t>
        </is>
      </c>
      <c r="B11" s="8" t="inlineStr">
        <is>
          <t>Standard</t>
        </is>
      </c>
      <c r="C11" s="8" t="inlineStr">
        <is>
          <t>Standard + CPF-CDD 1%</t>
        </is>
      </c>
      <c r="D11" s="8" t="inlineStr">
        <is>
          <t>+ élevées</t>
        </is>
      </c>
    </row>
    <row r="12">
      <c r="A12" s="6" t="inlineStr">
        <is>
          <t>Complément résultant</t>
        </is>
      </c>
      <c r="B12" s="6" t="inlineStr">
        <is>
          <t>Plus élevé (réserve fixe petite)</t>
        </is>
      </c>
      <c r="C12" s="6" t="inlineStr">
        <is>
          <t>Plus bas (préca variable + CPF)</t>
        </is>
      </c>
      <c r="D12" s="6" t="inlineStr">
        <is>
          <t>CDI &gt; CDD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15" customWidth="1" min="5" max="5"/>
  </cols>
  <sheetData>
    <row r="1" ht="28" customHeight="1">
      <c r="A1" s="1" t="inlineStr">
        <is>
          <t>COTISATIONS 2026 (24 lignes CDI + 1 CDD)</t>
        </is>
      </c>
      <c r="B1" s="2" t="n"/>
      <c r="C1" s="2" t="n"/>
      <c r="D1" s="2" t="n"/>
      <c r="E1" s="2" t="n"/>
    </row>
    <row r="3">
      <c r="A3" s="9" t="inlineStr">
        <is>
          <t>TOTALITÉ (100% du brut)</t>
        </is>
      </c>
      <c r="B3" s="10" t="n"/>
      <c r="C3" s="10" t="n"/>
      <c r="D3" s="10" t="n"/>
      <c r="E3" s="10" t="n"/>
    </row>
    <row r="4">
      <c r="A4" s="5" t="inlineStr">
        <is>
          <t>Cotisation</t>
        </is>
      </c>
      <c r="B4" s="5" t="inlineStr">
        <is>
          <t>Assiette</t>
        </is>
      </c>
      <c r="C4" s="5" t="inlineStr">
        <is>
          <t>Taux Pat</t>
        </is>
      </c>
      <c r="D4" s="5" t="inlineStr">
        <is>
          <t>Taux Sal</t>
        </is>
      </c>
      <c r="E4" s="5" t="inlineStr">
        <is>
          <t>Note</t>
        </is>
      </c>
    </row>
    <row r="5">
      <c r="A5" s="6" t="inlineStr">
        <is>
          <t>Maladie</t>
        </is>
      </c>
      <c r="B5" s="6" t="inlineStr">
        <is>
          <t>TOTALITÉ</t>
        </is>
      </c>
      <c r="C5" s="6" t="inlineStr">
        <is>
          <t>7,00%</t>
        </is>
      </c>
      <c r="D5" s="6" t="inlineStr">
        <is>
          <t>—</t>
        </is>
      </c>
      <c r="E5" s="6" t="inlineStr"/>
    </row>
    <row r="6">
      <c r="A6" s="6" t="inlineStr">
        <is>
          <t>Maladie complémentaire</t>
        </is>
      </c>
      <c r="B6" s="6" t="inlineStr">
        <is>
          <t>TOTALITÉ</t>
        </is>
      </c>
      <c r="C6" s="6" t="inlineStr">
        <is>
          <t>6,00%</t>
        </is>
      </c>
      <c r="D6" s="6" t="inlineStr">
        <is>
          <t>—</t>
        </is>
      </c>
      <c r="E6" s="6" t="inlineStr"/>
    </row>
    <row r="7">
      <c r="A7" s="6" t="inlineStr">
        <is>
          <t>CSA</t>
        </is>
      </c>
      <c r="B7" s="6" t="inlineStr">
        <is>
          <t>TOTALITÉ</t>
        </is>
      </c>
      <c r="C7" s="6" t="inlineStr">
        <is>
          <t>0,30%</t>
        </is>
      </c>
      <c r="D7" s="6" t="inlineStr">
        <is>
          <t>—</t>
        </is>
      </c>
      <c r="E7" s="6" t="inlineStr"/>
    </row>
    <row r="8">
      <c r="A8" s="6" t="inlineStr">
        <is>
          <t>Vieillesse déplafonnée</t>
        </is>
      </c>
      <c r="B8" s="6" t="inlineStr">
        <is>
          <t>TOTALITÉ</t>
        </is>
      </c>
      <c r="C8" s="6" t="inlineStr">
        <is>
          <t>2,11%</t>
        </is>
      </c>
      <c r="D8" s="6" t="inlineStr">
        <is>
          <t>0,40%</t>
        </is>
      </c>
      <c r="E8" s="6" t="inlineStr"/>
    </row>
    <row r="9">
      <c r="A9" s="6" t="inlineStr">
        <is>
          <t>Allocations familiales</t>
        </is>
      </c>
      <c r="B9" s="6" t="inlineStr">
        <is>
          <t>TOTALITÉ</t>
        </is>
      </c>
      <c r="C9" s="6" t="inlineStr">
        <is>
          <t>3,45%</t>
        </is>
      </c>
      <c r="D9" s="6" t="inlineStr">
        <is>
          <t>—</t>
        </is>
      </c>
      <c r="E9" s="6" t="inlineStr"/>
    </row>
    <row r="10">
      <c r="A10" s="6" t="inlineStr">
        <is>
          <t>AF complémentaire</t>
        </is>
      </c>
      <c r="B10" s="6" t="inlineStr">
        <is>
          <t>TOTALITÉ</t>
        </is>
      </c>
      <c r="C10" s="6" t="inlineStr">
        <is>
          <t>1,80%</t>
        </is>
      </c>
      <c r="D10" s="6" t="inlineStr">
        <is>
          <t>—</t>
        </is>
      </c>
      <c r="E10" s="6" t="inlineStr"/>
    </row>
    <row r="11">
      <c r="A11" s="6" t="inlineStr">
        <is>
          <t>AT/MP</t>
        </is>
      </c>
      <c r="B11" s="6" t="inlineStr">
        <is>
          <t>TOTALITÉ</t>
        </is>
      </c>
      <c r="C11" s="6" t="inlineStr">
        <is>
          <t>0,64%</t>
        </is>
      </c>
      <c r="D11" s="6" t="inlineStr">
        <is>
          <t>—</t>
        </is>
      </c>
      <c r="E11" s="6" t="inlineStr">
        <is>
          <t>Configurable</t>
        </is>
      </c>
    </row>
    <row r="12">
      <c r="A12" s="6" t="inlineStr">
        <is>
          <t>Chômage</t>
        </is>
      </c>
      <c r="B12" s="6" t="inlineStr">
        <is>
          <t>TOTALITÉ</t>
        </is>
      </c>
      <c r="C12" s="6" t="inlineStr">
        <is>
          <t>4,00%</t>
        </is>
      </c>
      <c r="D12" s="6" t="inlineStr">
        <is>
          <t>—</t>
        </is>
      </c>
      <c r="E12" s="6" t="inlineStr"/>
    </row>
    <row r="13">
      <c r="A13" s="6" t="inlineStr">
        <is>
          <t>AGS</t>
        </is>
      </c>
      <c r="B13" s="6" t="inlineStr">
        <is>
          <t>TOTALITÉ</t>
        </is>
      </c>
      <c r="C13" s="6" t="inlineStr">
        <is>
          <t>0,25%</t>
        </is>
      </c>
      <c r="D13" s="6" t="inlineStr">
        <is>
          <t>—</t>
        </is>
      </c>
      <c r="E13" s="6" t="inlineStr"/>
    </row>
    <row r="14">
      <c r="A14" s="6" t="inlineStr">
        <is>
          <t>Formation professionnelle</t>
        </is>
      </c>
      <c r="B14" s="6" t="inlineStr">
        <is>
          <t>TOTALITÉ</t>
        </is>
      </c>
      <c r="C14" s="6" t="inlineStr">
        <is>
          <t>1,00%</t>
        </is>
      </c>
      <c r="D14" s="6" t="inlineStr">
        <is>
          <t>—</t>
        </is>
      </c>
      <c r="E14" s="6" t="inlineStr"/>
    </row>
    <row r="15">
      <c r="A15" s="6" t="inlineStr">
        <is>
          <t>Taxe d'apprentissage</t>
        </is>
      </c>
      <c r="B15" s="6" t="inlineStr">
        <is>
          <t>TOTALITÉ</t>
        </is>
      </c>
      <c r="C15" s="6" t="inlineStr">
        <is>
          <t>0,59%</t>
        </is>
      </c>
      <c r="D15" s="6" t="inlineStr">
        <is>
          <t>—</t>
        </is>
      </c>
      <c r="E15" s="6" t="inlineStr"/>
    </row>
    <row r="16">
      <c r="A16" s="6" t="inlineStr">
        <is>
          <t>Taxe appr. libératoire</t>
        </is>
      </c>
      <c r="B16" s="6" t="inlineStr">
        <is>
          <t>TOTALITÉ</t>
        </is>
      </c>
      <c r="C16" s="6" t="inlineStr">
        <is>
          <t>0,09%</t>
        </is>
      </c>
      <c r="D16" s="6" t="inlineStr">
        <is>
          <t>—</t>
        </is>
      </c>
      <c r="E16" s="6" t="inlineStr"/>
    </row>
    <row r="17">
      <c r="A17" s="6" t="inlineStr">
        <is>
          <t>Dialogue social</t>
        </is>
      </c>
      <c r="B17" s="6" t="inlineStr">
        <is>
          <t>TOTALITÉ</t>
        </is>
      </c>
      <c r="C17" s="6" t="inlineStr">
        <is>
          <t>0,01%</t>
        </is>
      </c>
      <c r="D17" s="6" t="inlineStr">
        <is>
          <t>—</t>
        </is>
      </c>
      <c r="E17" s="6" t="inlineStr"/>
    </row>
    <row r="19">
      <c r="A19" s="9" t="inlineStr">
        <is>
          <t>TRANCHE A = min(Brut, PMSS 4 005€)</t>
        </is>
      </c>
      <c r="B19" s="10" t="n"/>
      <c r="C19" s="10" t="n"/>
      <c r="D19" s="10" t="n"/>
      <c r="E19" s="10" t="n"/>
    </row>
    <row r="20">
      <c r="A20" s="5" t="inlineStr">
        <is>
          <t>Cotisation</t>
        </is>
      </c>
      <c r="B20" s="5" t="inlineStr">
        <is>
          <t>Assiette</t>
        </is>
      </c>
      <c r="C20" s="5" t="inlineStr">
        <is>
          <t>Taux Pat</t>
        </is>
      </c>
      <c r="D20" s="5" t="inlineStr">
        <is>
          <t>Taux Sal</t>
        </is>
      </c>
      <c r="E20" s="5" t="inlineStr">
        <is>
          <t>Note</t>
        </is>
      </c>
    </row>
    <row r="21">
      <c r="A21" s="6" t="inlineStr">
        <is>
          <t>Vieillesse plafonnée</t>
        </is>
      </c>
      <c r="B21" s="6" t="inlineStr">
        <is>
          <t>TRANCHE A</t>
        </is>
      </c>
      <c r="C21" s="6" t="inlineStr">
        <is>
          <t>8,55%</t>
        </is>
      </c>
      <c r="D21" s="6" t="inlineStr">
        <is>
          <t>6,90%</t>
        </is>
      </c>
      <c r="E21" s="6" t="inlineStr"/>
    </row>
    <row r="22">
      <c r="A22" s="6" t="inlineStr">
        <is>
          <t>FNAL</t>
        </is>
      </c>
      <c r="B22" s="6" t="inlineStr">
        <is>
          <t>TRANCHE A</t>
        </is>
      </c>
      <c r="C22" s="6" t="inlineStr">
        <is>
          <t>0,10/0,50%</t>
        </is>
      </c>
      <c r="D22" s="6" t="inlineStr">
        <is>
          <t>—</t>
        </is>
      </c>
      <c r="E22" s="6" t="inlineStr">
        <is>
          <t>Selon effectif</t>
        </is>
      </c>
    </row>
    <row r="23">
      <c r="A23" s="6" t="inlineStr">
        <is>
          <t>Retraite AGIRC-ARRCO T1</t>
        </is>
      </c>
      <c r="B23" s="6" t="inlineStr">
        <is>
          <t>TRANCHE A</t>
        </is>
      </c>
      <c r="C23" s="6" t="inlineStr">
        <is>
          <t>4,72%</t>
        </is>
      </c>
      <c r="D23" s="6" t="inlineStr">
        <is>
          <t>3,15%</t>
        </is>
      </c>
      <c r="E23" s="6" t="inlineStr"/>
    </row>
    <row r="24">
      <c r="A24" s="6" t="inlineStr">
        <is>
          <t>CEG T1</t>
        </is>
      </c>
      <c r="B24" s="6" t="inlineStr">
        <is>
          <t>TRANCHE A</t>
        </is>
      </c>
      <c r="C24" s="6" t="inlineStr">
        <is>
          <t>1,29%</t>
        </is>
      </c>
      <c r="D24" s="6" t="inlineStr">
        <is>
          <t>0,86%</t>
        </is>
      </c>
      <c r="E24" s="6" t="inlineStr"/>
    </row>
    <row r="25">
      <c r="A25" s="6" t="inlineStr">
        <is>
          <t>CET T1</t>
        </is>
      </c>
      <c r="B25" s="6" t="inlineStr">
        <is>
          <t>TRANCHE A</t>
        </is>
      </c>
      <c r="C25" s="6" t="inlineStr">
        <is>
          <t>0,21%</t>
        </is>
      </c>
      <c r="D25" s="6" t="inlineStr">
        <is>
          <t>0,14%</t>
        </is>
      </c>
      <c r="E25" s="6" t="inlineStr"/>
    </row>
    <row r="26">
      <c r="A26" s="6" t="inlineStr">
        <is>
          <t>APEC T1</t>
        </is>
      </c>
      <c r="B26" s="6" t="inlineStr">
        <is>
          <t>TRANCHE A</t>
        </is>
      </c>
      <c r="C26" s="6" t="inlineStr">
        <is>
          <t>0,036%</t>
        </is>
      </c>
      <c r="D26" s="6" t="inlineStr">
        <is>
          <t>0,024%</t>
        </is>
      </c>
      <c r="E26" s="6" t="inlineStr"/>
    </row>
    <row r="27">
      <c r="A27" s="6" t="inlineStr">
        <is>
          <t>Prévoyance décès</t>
        </is>
      </c>
      <c r="B27" s="6" t="inlineStr">
        <is>
          <t>TRANCHE A</t>
        </is>
      </c>
      <c r="C27" s="6" t="inlineStr">
        <is>
          <t>1,59%</t>
        </is>
      </c>
      <c r="D27" s="6" t="inlineStr">
        <is>
          <t>—</t>
        </is>
      </c>
      <c r="E27" s="6" t="inlineStr"/>
    </row>
    <row r="29">
      <c r="A29" s="9" t="inlineStr">
        <is>
          <t>TRANCHE B = max(0, Brut - PMSS)</t>
        </is>
      </c>
      <c r="B29" s="10" t="n"/>
      <c r="C29" s="10" t="n"/>
      <c r="D29" s="10" t="n"/>
      <c r="E29" s="10" t="n"/>
    </row>
    <row r="30">
      <c r="A30" s="5" t="inlineStr">
        <is>
          <t>Cotisation</t>
        </is>
      </c>
      <c r="B30" s="5" t="inlineStr">
        <is>
          <t>Assiette</t>
        </is>
      </c>
      <c r="C30" s="5" t="inlineStr">
        <is>
          <t>Taux Pat</t>
        </is>
      </c>
      <c r="D30" s="5" t="inlineStr">
        <is>
          <t>Taux Sal</t>
        </is>
      </c>
      <c r="E30" s="5" t="inlineStr">
        <is>
          <t>Note</t>
        </is>
      </c>
    </row>
    <row r="31">
      <c r="A31" s="6" t="inlineStr">
        <is>
          <t>Retraite AGIRC-ARRCO T2</t>
        </is>
      </c>
      <c r="B31" s="6" t="inlineStr">
        <is>
          <t>TRANCHE B</t>
        </is>
      </c>
      <c r="C31" s="6" t="inlineStr">
        <is>
          <t>12,95%</t>
        </is>
      </c>
      <c r="D31" s="6" t="inlineStr">
        <is>
          <t>8,64%</t>
        </is>
      </c>
      <c r="E31" s="6" t="inlineStr"/>
    </row>
    <row r="32">
      <c r="A32" s="6" t="inlineStr">
        <is>
          <t>CEG T2</t>
        </is>
      </c>
      <c r="B32" s="6" t="inlineStr">
        <is>
          <t>TRANCHE B</t>
        </is>
      </c>
      <c r="C32" s="6" t="inlineStr">
        <is>
          <t>1,62%</t>
        </is>
      </c>
      <c r="D32" s="6" t="inlineStr">
        <is>
          <t>1,08%</t>
        </is>
      </c>
      <c r="E32" s="6" t="inlineStr"/>
    </row>
    <row r="33">
      <c r="A33" s="6" t="inlineStr">
        <is>
          <t>CET T2</t>
        </is>
      </c>
      <c r="B33" s="6" t="inlineStr">
        <is>
          <t>TRANCHE B</t>
        </is>
      </c>
      <c r="C33" s="6" t="inlineStr">
        <is>
          <t>0,21%</t>
        </is>
      </c>
      <c r="D33" s="6" t="inlineStr">
        <is>
          <t>0,14%</t>
        </is>
      </c>
      <c r="E33" s="6" t="inlineStr"/>
    </row>
    <row r="34">
      <c r="A34" s="6" t="inlineStr">
        <is>
          <t>APEC T2</t>
        </is>
      </c>
      <c r="B34" s="6" t="inlineStr">
        <is>
          <t>TRANCHE B</t>
        </is>
      </c>
      <c r="C34" s="6" t="inlineStr">
        <is>
          <t>0,036%</t>
        </is>
      </c>
      <c r="D34" s="6" t="inlineStr">
        <is>
          <t>0,024%</t>
        </is>
      </c>
      <c r="E34" s="6" t="inlineStr"/>
    </row>
    <row r="35">
      <c r="A35" s="6" t="inlineStr">
        <is>
          <t>Prévoyance supp. T2</t>
        </is>
      </c>
      <c r="B35" s="6" t="inlineStr">
        <is>
          <t>TRANCHE B</t>
        </is>
      </c>
      <c r="C35" s="6" t="inlineStr">
        <is>
          <t>0,73%</t>
        </is>
      </c>
      <c r="D35" s="6" t="inlineStr">
        <is>
          <t>0,73%</t>
        </is>
      </c>
      <c r="E35" s="6" t="inlineStr"/>
    </row>
    <row r="37">
      <c r="A37" s="9" t="inlineStr">
        <is>
          <t>CSG = 98,25% × Brut + Prévoyance pat</t>
        </is>
      </c>
      <c r="B37" s="10" t="n"/>
      <c r="C37" s="10" t="n"/>
      <c r="D37" s="10" t="n"/>
      <c r="E37" s="10" t="n"/>
    </row>
    <row r="38">
      <c r="A38" s="5" t="inlineStr">
        <is>
          <t>Cotisation</t>
        </is>
      </c>
      <c r="B38" s="5" t="inlineStr">
        <is>
          <t>Assiette</t>
        </is>
      </c>
      <c r="C38" s="5" t="inlineStr">
        <is>
          <t>Taux Pat</t>
        </is>
      </c>
      <c r="D38" s="5" t="inlineStr">
        <is>
          <t>Taux Sal</t>
        </is>
      </c>
      <c r="E38" s="5" t="inlineStr">
        <is>
          <t>Note</t>
        </is>
      </c>
    </row>
    <row r="39">
      <c r="A39" s="6" t="inlineStr">
        <is>
          <t>CSG déductible</t>
        </is>
      </c>
      <c r="B39" s="6" t="inlineStr">
        <is>
          <t>CSG</t>
        </is>
      </c>
      <c r="C39" s="6" t="inlineStr">
        <is>
          <t>—</t>
        </is>
      </c>
      <c r="D39" s="6" t="inlineStr">
        <is>
          <t>6,80%</t>
        </is>
      </c>
      <c r="E39" s="6" t="inlineStr"/>
    </row>
    <row r="40">
      <c r="A40" s="6" t="inlineStr">
        <is>
          <t>CSG/CRDS non déductible</t>
        </is>
      </c>
      <c r="B40" s="6" t="inlineStr">
        <is>
          <t>CSG</t>
        </is>
      </c>
      <c r="C40" s="6" t="inlineStr">
        <is>
          <t>—</t>
        </is>
      </c>
      <c r="D40" s="6" t="inlineStr">
        <is>
          <t>2,90%</t>
        </is>
      </c>
      <c r="E40" s="6" t="inlineStr"/>
    </row>
    <row r="42">
      <c r="A42" s="9" t="inlineStr">
        <is>
          <t>CDD UNIQUEMENT</t>
        </is>
      </c>
      <c r="B42" s="10" t="n"/>
      <c r="C42" s="10" t="n"/>
      <c r="D42" s="10" t="n"/>
      <c r="E42" s="10" t="n"/>
    </row>
    <row r="43">
      <c r="A43" s="5" t="inlineStr">
        <is>
          <t>Cotisation</t>
        </is>
      </c>
      <c r="B43" s="5" t="inlineStr">
        <is>
          <t>Assiette</t>
        </is>
      </c>
      <c r="C43" s="5" t="inlineStr">
        <is>
          <t>Taux Pat</t>
        </is>
      </c>
      <c r="D43" s="5" t="inlineStr">
        <is>
          <t>Taux Sal</t>
        </is>
      </c>
      <c r="E43" s="5" t="inlineStr">
        <is>
          <t>Note</t>
        </is>
      </c>
    </row>
    <row r="44">
      <c r="A44" s="8" t="inlineStr">
        <is>
          <t>CPF-CDD (C003)</t>
        </is>
      </c>
      <c r="B44" s="8" t="inlineStr">
        <is>
          <t>TOTALITÉ</t>
        </is>
      </c>
      <c r="C44" s="8" t="inlineStr">
        <is>
          <t>1,00%</t>
        </is>
      </c>
      <c r="D44" s="8" t="inlineStr">
        <is>
          <t>—</t>
        </is>
      </c>
      <c r="E44" s="8" t="inlineStr">
        <is>
          <t>CDD uniquement</t>
        </is>
      </c>
    </row>
    <row r="46">
      <c r="A46" s="9" t="inlineStr">
        <is>
          <t>HORS COTISATIONS (ajoutés séparément)</t>
        </is>
      </c>
      <c r="B46" s="10" t="n"/>
      <c r="C46" s="10" t="n"/>
      <c r="D46" s="10" t="n"/>
      <c r="E46" s="10" t="n"/>
    </row>
    <row r="47">
      <c r="A47" s="5" t="inlineStr">
        <is>
          <t>Élément</t>
        </is>
      </c>
      <c r="B47" s="5" t="inlineStr">
        <is>
          <t>Base</t>
        </is>
      </c>
      <c r="C47" s="5" t="inlineStr">
        <is>
          <t>Taux Pat</t>
        </is>
      </c>
      <c r="D47" s="5" t="inlineStr">
        <is>
          <t>Taux Sal</t>
        </is>
      </c>
      <c r="E47" s="5" t="inlineStr">
        <is>
          <t>Note</t>
        </is>
      </c>
    </row>
    <row r="48">
      <c r="A48" s="6" t="inlineStr">
        <is>
          <t>Mutuelle</t>
        </is>
      </c>
      <c r="B48" s="6" t="inlineStr">
        <is>
          <t>PMSS × 1,5%</t>
        </is>
      </c>
      <c r="C48" s="6" t="inlineStr">
        <is>
          <t>50%</t>
        </is>
      </c>
      <c r="D48" s="6" t="inlineStr">
        <is>
          <t>50%</t>
        </is>
      </c>
      <c r="E48" s="6" t="inlineStr">
        <is>
          <t>≈ 30,04€ chacun</t>
        </is>
      </c>
    </row>
    <row r="49">
      <c r="A49" s="6" t="inlineStr">
        <is>
          <t>Titres Restaurant</t>
        </is>
      </c>
      <c r="B49" s="6" t="inlineStr">
        <is>
          <t>7,18€ × Nb TR</t>
        </is>
      </c>
      <c r="C49" s="6" t="inlineStr">
        <is>
          <t>50%</t>
        </is>
      </c>
      <c r="D49" s="6" t="inlineStr">
        <is>
          <t>50%</t>
        </is>
      </c>
      <c r="E49" s="6" t="inlineStr"/>
    </row>
    <row r="50">
      <c r="A50" s="6" t="inlineStr">
        <is>
          <t>Forfait Social Prévoyance</t>
        </is>
      </c>
      <c r="B50" s="6" t="inlineStr">
        <is>
          <t>Prév. pat totale</t>
        </is>
      </c>
      <c r="C50" s="6" t="inlineStr">
        <is>
          <t>8%</t>
        </is>
      </c>
      <c r="D50" s="6" t="inlineStr">
        <is>
          <t>—</t>
        </is>
      </c>
      <c r="E50" s="6" t="inlineStr"/>
    </row>
    <row r="51">
      <c r="A51" s="6" t="inlineStr">
        <is>
          <t>RGDU 2026</t>
        </is>
      </c>
      <c r="B51" s="6" t="inlineStr">
        <is>
          <t>Si brut &lt; 3×SMIC</t>
        </is>
      </c>
      <c r="C51" s="6" t="inlineStr">
        <is>
          <t>Réduction</t>
        </is>
      </c>
      <c r="D51" s="6" t="inlineStr">
        <is>
          <t>—</t>
        </is>
      </c>
      <c r="E51" s="6" t="inlineStr">
        <is>
          <t>Obligatoire</t>
        </is>
      </c>
    </row>
  </sheetData>
  <mergeCells count="7">
    <mergeCell ref="A29:E29"/>
    <mergeCell ref="A42:E42"/>
    <mergeCell ref="A19:E19"/>
    <mergeCell ref="A1:E1"/>
    <mergeCell ref="A37:E37"/>
    <mergeCell ref="A46:E4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" t="inlineStr">
        <is>
          <t>BARÈMES ET CONSTANTES 2026</t>
        </is>
      </c>
      <c r="B1" s="2" t="n"/>
      <c r="C1" s="2" t="n"/>
      <c r="D1" s="2" t="n"/>
      <c r="E1" s="2" t="n"/>
    </row>
    <row r="3" ht="24" customHeight="1">
      <c r="A3" s="3" t="inlineStr">
        <is>
          <t>CONSTANTES</t>
        </is>
      </c>
      <c r="B3" s="4" t="n"/>
      <c r="C3" s="4" t="n"/>
      <c r="D3" s="4" t="n"/>
      <c r="E3" s="4" t="n"/>
    </row>
    <row r="4">
      <c r="A4" s="5" t="inlineStr">
        <is>
          <t>Paramètre</t>
        </is>
      </c>
      <c r="B4" s="5" t="inlineStr">
        <is>
          <t>Valeur</t>
        </is>
      </c>
      <c r="C4" s="5" t="inlineStr">
        <is>
          <t>Unité</t>
        </is>
      </c>
      <c r="D4" s="5" t="inlineStr"/>
      <c r="E4" s="5" t="inlineStr"/>
    </row>
    <row r="5">
      <c r="A5" s="6" t="inlineStr">
        <is>
          <t>PMSS</t>
        </is>
      </c>
      <c r="B5" s="6" t="inlineStr">
        <is>
          <t>4 005</t>
        </is>
      </c>
      <c r="C5" s="6" t="inlineStr">
        <is>
          <t>€/mois</t>
        </is>
      </c>
      <c r="D5" s="6" t="inlineStr"/>
      <c r="E5" s="6" t="inlineStr"/>
    </row>
    <row r="6">
      <c r="A6" s="6" t="inlineStr">
        <is>
          <t>SMIC mensuel</t>
        </is>
      </c>
      <c r="B6" s="6" t="inlineStr">
        <is>
          <t>1 823,03</t>
        </is>
      </c>
      <c r="C6" s="6" t="inlineStr">
        <is>
          <t>€/mois</t>
        </is>
      </c>
      <c r="D6" s="6" t="inlineStr"/>
      <c r="E6" s="6" t="inlineStr"/>
    </row>
    <row r="7">
      <c r="A7" s="6" t="inlineStr">
        <is>
          <t>Salaire de base portage</t>
        </is>
      </c>
      <c r="B7" s="6" t="inlineStr">
        <is>
          <t>2 374</t>
        </is>
      </c>
      <c r="C7" s="6" t="inlineStr">
        <is>
          <t>€/mois</t>
        </is>
      </c>
      <c r="D7" s="6" t="inlineStr"/>
      <c r="E7" s="6" t="inlineStr"/>
    </row>
    <row r="8">
      <c r="A8" s="6" t="inlineStr">
        <is>
          <t>Prime d'apport</t>
        </is>
      </c>
      <c r="B8" s="6" t="inlineStr">
        <is>
          <t>5%</t>
        </is>
      </c>
      <c r="C8" s="6" t="inlineStr">
        <is>
          <t>du base</t>
        </is>
      </c>
      <c r="D8" s="6" t="inlineStr"/>
      <c r="E8" s="6" t="inlineStr"/>
    </row>
    <row r="9">
      <c r="A9" s="6" t="inlineStr">
        <is>
          <t>Congés payés</t>
        </is>
      </c>
      <c r="B9" s="6" t="inlineStr">
        <is>
          <t>10%</t>
        </is>
      </c>
      <c r="C9" s="6" t="inlineStr"/>
      <c r="D9" s="6" t="inlineStr"/>
      <c r="E9" s="6" t="inlineStr"/>
    </row>
    <row r="10">
      <c r="A10" s="6" t="inlineStr">
        <is>
          <t>Réserve / Précarité</t>
        </is>
      </c>
      <c r="B10" s="6" t="inlineStr">
        <is>
          <t>10%</t>
        </is>
      </c>
      <c r="C10" s="6" t="inlineStr"/>
      <c r="D10" s="6" t="inlineStr"/>
      <c r="E10" s="6" t="inlineStr"/>
    </row>
    <row r="11">
      <c r="A11" s="6" t="inlineStr">
        <is>
          <t>Forfait social</t>
        </is>
      </c>
      <c r="B11" s="6" t="inlineStr">
        <is>
          <t>8%</t>
        </is>
      </c>
      <c r="C11" s="6" t="inlineStr">
        <is>
          <t>de prév. pat</t>
        </is>
      </c>
      <c r="D11" s="6" t="inlineStr"/>
      <c r="E11" s="6" t="inlineStr"/>
    </row>
    <row r="12">
      <c r="A12" s="6" t="inlineStr">
        <is>
          <t>Mutuelle</t>
        </is>
      </c>
      <c r="B12" s="6" t="inlineStr">
        <is>
          <t>1,5%</t>
        </is>
      </c>
      <c r="C12" s="6" t="inlineStr">
        <is>
          <t>du PMSS</t>
        </is>
      </c>
      <c r="D12" s="6" t="inlineStr"/>
      <c r="E12" s="6" t="inlineStr"/>
    </row>
    <row r="13">
      <c r="A13" s="6" t="inlineStr">
        <is>
          <t>CPF-CDD</t>
        </is>
      </c>
      <c r="B13" s="6" t="inlineStr">
        <is>
          <t>1%</t>
        </is>
      </c>
      <c r="C13" s="6" t="inlineStr">
        <is>
          <t>du brut (CDD)</t>
        </is>
      </c>
      <c r="D13" s="6" t="inlineStr"/>
      <c r="E13" s="6" t="inlineStr"/>
    </row>
    <row r="14">
      <c r="A14" s="6" t="inlineStr">
        <is>
          <t>Facteur CDD</t>
        </is>
      </c>
      <c r="B14" s="6" t="inlineStr">
        <is>
          <t>1,2705</t>
        </is>
      </c>
      <c r="C14" s="6" t="inlineStr"/>
      <c r="D14" s="6" t="inlineStr"/>
      <c r="E14" s="6" t="inlineStr"/>
    </row>
    <row r="16" ht="24" customHeight="1">
      <c r="A16" s="3" t="inlineStr">
        <is>
          <t>IGD URSSAF 2026</t>
        </is>
      </c>
      <c r="B16" s="4" t="n"/>
      <c r="C16" s="4" t="n"/>
      <c r="D16" s="4" t="n"/>
      <c r="E16" s="4" t="n"/>
    </row>
    <row r="17">
      <c r="A17" s="5" t="inlineStr">
        <is>
          <t>Durée</t>
        </is>
      </c>
      <c r="B17" s="5" t="inlineStr">
        <is>
          <t>Repas</t>
        </is>
      </c>
      <c r="C17" s="5" t="inlineStr">
        <is>
          <t>Province</t>
        </is>
      </c>
      <c r="D17" s="5" t="inlineStr">
        <is>
          <t>Paris</t>
        </is>
      </c>
      <c r="E17" s="5" t="inlineStr"/>
    </row>
    <row r="18">
      <c r="A18" s="6" t="inlineStr">
        <is>
          <t>&lt; 3 mois</t>
        </is>
      </c>
      <c r="B18" s="6" t="inlineStr">
        <is>
          <t>21,40€</t>
        </is>
      </c>
      <c r="C18" s="6" t="inlineStr">
        <is>
          <t>56,80€</t>
        </is>
      </c>
      <c r="D18" s="6" t="inlineStr">
        <is>
          <t>76,60€</t>
        </is>
      </c>
      <c r="E18" s="6" t="inlineStr"/>
    </row>
    <row r="19">
      <c r="A19" s="6" t="inlineStr">
        <is>
          <t>3 à 24 mois</t>
        </is>
      </c>
      <c r="B19" s="6" t="inlineStr">
        <is>
          <t>18,20€</t>
        </is>
      </c>
      <c r="C19" s="6" t="inlineStr">
        <is>
          <t>48,30€</t>
        </is>
      </c>
      <c r="D19" s="6" t="inlineStr">
        <is>
          <t>65,10€</t>
        </is>
      </c>
      <c r="E19" s="6" t="inlineStr"/>
    </row>
    <row r="20">
      <c r="A20" s="6" t="inlineStr">
        <is>
          <t>&gt; 24 mois</t>
        </is>
      </c>
      <c r="B20" s="6" t="inlineStr">
        <is>
          <t>15,00€</t>
        </is>
      </c>
      <c r="C20" s="6" t="inlineStr">
        <is>
          <t>39,80€</t>
        </is>
      </c>
      <c r="D20" s="6" t="inlineStr">
        <is>
          <t>53,60€</t>
        </is>
      </c>
      <c r="E20" s="6" t="inlineStr"/>
    </row>
    <row r="22" ht="24" customHeight="1">
      <c r="A22" s="3" t="inlineStr">
        <is>
          <t>IK VOITURE 2026</t>
        </is>
      </c>
      <c r="B22" s="4" t="n"/>
      <c r="C22" s="4" t="n"/>
      <c r="D22" s="4" t="n"/>
      <c r="E22" s="4" t="n"/>
    </row>
    <row r="23">
      <c r="A23" s="5" t="inlineStr">
        <is>
          <t>CV</t>
        </is>
      </c>
      <c r="B23" s="5" t="inlineStr">
        <is>
          <t>&lt; 5 000 km</t>
        </is>
      </c>
      <c r="C23" s="5" t="inlineStr">
        <is>
          <t>5 001-20 000</t>
        </is>
      </c>
      <c r="D23" s="5" t="inlineStr">
        <is>
          <t>&gt; 20 000</t>
        </is>
      </c>
      <c r="E23" s="5" t="inlineStr">
        <is>
          <t>Électrique</t>
        </is>
      </c>
    </row>
    <row r="24">
      <c r="A24" s="6" t="inlineStr">
        <is>
          <t>3 CV</t>
        </is>
      </c>
      <c r="B24" s="6" t="inlineStr">
        <is>
          <t>0,529</t>
        </is>
      </c>
      <c r="C24" s="6" t="inlineStr">
        <is>
          <t>0,316</t>
        </is>
      </c>
      <c r="D24" s="6" t="inlineStr">
        <is>
          <t>0,370</t>
        </is>
      </c>
      <c r="E24" s="6" t="inlineStr">
        <is>
          <t>× 1,20</t>
        </is>
      </c>
    </row>
    <row r="25">
      <c r="A25" s="6" t="inlineStr">
        <is>
          <t>4 CV</t>
        </is>
      </c>
      <c r="B25" s="6" t="inlineStr">
        <is>
          <t>0,606</t>
        </is>
      </c>
      <c r="C25" s="6" t="inlineStr">
        <is>
          <t>0,340</t>
        </is>
      </c>
      <c r="D25" s="6" t="inlineStr">
        <is>
          <t>0,407</t>
        </is>
      </c>
      <c r="E25" s="6" t="inlineStr">
        <is>
          <t>× 1,20</t>
        </is>
      </c>
    </row>
    <row r="26">
      <c r="A26" s="6" t="inlineStr">
        <is>
          <t>5 CV</t>
        </is>
      </c>
      <c r="B26" s="6" t="inlineStr">
        <is>
          <t>0,636</t>
        </is>
      </c>
      <c r="C26" s="6" t="inlineStr">
        <is>
          <t>0,357</t>
        </is>
      </c>
      <c r="D26" s="6" t="inlineStr">
        <is>
          <t>0,427</t>
        </is>
      </c>
      <c r="E26" s="6" t="inlineStr">
        <is>
          <t>× 1,20</t>
        </is>
      </c>
    </row>
    <row r="27">
      <c r="A27" s="6" t="inlineStr">
        <is>
          <t>6 CV</t>
        </is>
      </c>
      <c r="B27" s="6" t="inlineStr">
        <is>
          <t>0,665</t>
        </is>
      </c>
      <c r="C27" s="6" t="inlineStr">
        <is>
          <t>0,374</t>
        </is>
      </c>
      <c r="D27" s="6" t="inlineStr">
        <is>
          <t>0,447</t>
        </is>
      </c>
      <c r="E27" s="6" t="inlineStr">
        <is>
          <t>× 1,20</t>
        </is>
      </c>
    </row>
    <row r="28">
      <c r="A28" s="6" t="inlineStr">
        <is>
          <t>7+ CV</t>
        </is>
      </c>
      <c r="B28" s="6" t="inlineStr">
        <is>
          <t>0,697</t>
        </is>
      </c>
      <c r="C28" s="6" t="inlineStr">
        <is>
          <t>0,394</t>
        </is>
      </c>
      <c r="D28" s="6" t="inlineStr">
        <is>
          <t>0,470</t>
        </is>
      </c>
      <c r="E28" s="6" t="inlineStr">
        <is>
          <t>× 1,20</t>
        </is>
      </c>
    </row>
    <row r="30" ht="24" customHeight="1">
      <c r="A30" s="3" t="inlineStr">
        <is>
          <t>JOURS OUVRÉS 2026</t>
        </is>
      </c>
      <c r="B30" s="4" t="n"/>
      <c r="C30" s="4" t="n"/>
      <c r="D30" s="4" t="n"/>
      <c r="E30" s="4" t="n"/>
    </row>
    <row r="31">
      <c r="A31" s="5" t="inlineStr">
        <is>
          <t>Mois</t>
        </is>
      </c>
      <c r="B31" s="5" t="inlineStr">
        <is>
          <t>Jours ouvrés</t>
        </is>
      </c>
      <c r="C31" s="5" t="inlineStr"/>
      <c r="D31" s="5" t="inlineStr"/>
      <c r="E31" s="5" t="inlineStr"/>
    </row>
    <row r="32">
      <c r="A32" s="6" t="inlineStr">
        <is>
          <t>Janvier 2026</t>
        </is>
      </c>
      <c r="B32" s="6" t="inlineStr">
        <is>
          <t>21</t>
        </is>
      </c>
      <c r="C32" s="6" t="inlineStr"/>
      <c r="D32" s="6" t="inlineStr"/>
      <c r="E32" s="6" t="inlineStr"/>
    </row>
    <row r="33">
      <c r="A33" s="6" t="inlineStr">
        <is>
          <t>Février 2026</t>
        </is>
      </c>
      <c r="B33" s="6" t="inlineStr">
        <is>
          <t>20</t>
        </is>
      </c>
      <c r="C33" s="6" t="inlineStr"/>
      <c r="D33" s="6" t="inlineStr"/>
      <c r="E33" s="6" t="inlineStr"/>
    </row>
    <row r="34">
      <c r="A34" s="6" t="inlineStr">
        <is>
          <t>Mars 2026</t>
        </is>
      </c>
      <c r="B34" s="6" t="inlineStr">
        <is>
          <t>22</t>
        </is>
      </c>
      <c r="C34" s="6" t="inlineStr"/>
      <c r="D34" s="6" t="inlineStr"/>
      <c r="E34" s="6" t="inlineStr"/>
    </row>
    <row r="35">
      <c r="A35" s="6" t="inlineStr">
        <is>
          <t>Avril 2026</t>
        </is>
      </c>
      <c r="B35" s="6" t="inlineStr">
        <is>
          <t>21</t>
        </is>
      </c>
      <c r="C35" s="6" t="inlineStr"/>
      <c r="D35" s="6" t="inlineStr"/>
      <c r="E35" s="6" t="inlineStr"/>
    </row>
    <row r="36">
      <c r="A36" s="6" t="inlineStr">
        <is>
          <t>Mai 2026</t>
        </is>
      </c>
      <c r="B36" s="6" t="inlineStr">
        <is>
          <t>18</t>
        </is>
      </c>
      <c r="C36" s="6" t="inlineStr"/>
      <c r="D36" s="6" t="inlineStr"/>
      <c r="E36" s="6" t="inlineStr"/>
    </row>
    <row r="37">
      <c r="A37" s="6" t="inlineStr">
        <is>
          <t>Juin 2026</t>
        </is>
      </c>
      <c r="B37" s="6" t="inlineStr">
        <is>
          <t>22</t>
        </is>
      </c>
      <c r="C37" s="6" t="inlineStr"/>
      <c r="D37" s="6" t="inlineStr"/>
      <c r="E37" s="6" t="inlineStr"/>
    </row>
    <row r="38">
      <c r="A38" s="6" t="inlineStr">
        <is>
          <t>Juillet 2026</t>
        </is>
      </c>
      <c r="B38" s="6" t="inlineStr">
        <is>
          <t>22</t>
        </is>
      </c>
      <c r="C38" s="6" t="inlineStr"/>
      <c r="D38" s="6" t="inlineStr"/>
      <c r="E38" s="6" t="inlineStr"/>
    </row>
    <row r="39">
      <c r="A39" s="6" t="inlineStr">
        <is>
          <t>Août 2026</t>
        </is>
      </c>
      <c r="B39" s="6" t="inlineStr">
        <is>
          <t>21</t>
        </is>
      </c>
      <c r="C39" s="6" t="inlineStr"/>
      <c r="D39" s="6" t="inlineStr"/>
      <c r="E39" s="6" t="inlineStr"/>
    </row>
    <row r="40">
      <c r="A40" s="6" t="inlineStr">
        <is>
          <t>Septembre 2026</t>
        </is>
      </c>
      <c r="B40" s="6" t="inlineStr">
        <is>
          <t>22</t>
        </is>
      </c>
      <c r="C40" s="6" t="inlineStr"/>
      <c r="D40" s="6" t="inlineStr"/>
      <c r="E40" s="6" t="inlineStr"/>
    </row>
    <row r="41">
      <c r="A41" s="6" t="inlineStr">
        <is>
          <t>Octobre 2026</t>
        </is>
      </c>
      <c r="B41" s="6" t="inlineStr">
        <is>
          <t>22</t>
        </is>
      </c>
      <c r="C41" s="6" t="inlineStr"/>
      <c r="D41" s="6" t="inlineStr"/>
      <c r="E41" s="6" t="inlineStr"/>
    </row>
    <row r="42">
      <c r="A42" s="6" t="inlineStr">
        <is>
          <t>Novembre 2026</t>
        </is>
      </c>
      <c r="B42" s="6" t="inlineStr">
        <is>
          <t>20</t>
        </is>
      </c>
      <c r="C42" s="6" t="inlineStr"/>
      <c r="D42" s="6" t="inlineStr"/>
      <c r="E42" s="6" t="inlineStr"/>
    </row>
    <row r="43">
      <c r="A43" s="6" t="inlineStr">
        <is>
          <t>Décembre 2026</t>
        </is>
      </c>
      <c r="B43" s="6" t="inlineStr">
        <is>
          <t>22</t>
        </is>
      </c>
      <c r="C43" s="6" t="inlineStr"/>
      <c r="D43" s="6" t="inlineStr"/>
      <c r="E43" s="6" t="inlineStr"/>
    </row>
  </sheetData>
  <mergeCells count="5">
    <mergeCell ref="A30:E30"/>
    <mergeCell ref="A16:E16"/>
    <mergeCell ref="A1:E1"/>
    <mergeCell ref="A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2026-03-17T09:29:40Z</dcterms:created>
  <dcterms:modified xmlns:dcterms="http://purl.org/dc/terms/" xmlns:xsi="http://www.w3.org/2001/XMLSchema-instance" xsi:type="dcterms:W3CDTF">2026-03-17T09:29:40Z</dcterms:modified>
</cp:coreProperties>
</file>