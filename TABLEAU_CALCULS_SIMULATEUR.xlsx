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des calculs" sheetId="1" state="visible" r:id="rId1"/>
    <sheet xmlns:r="http://schemas.openxmlformats.org/officeDocument/2006/relationships" name="Détail 24 cotisations" sheetId="2" state="visible" r:id="rId2"/>
    <sheet xmlns:r="http://schemas.openxmlformats.org/officeDocument/2006/relationships" name="Barèmes &amp; Constantes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A5276"/>
      <sz val="10"/>
    </font>
    <font>
      <name val="Calibri"/>
      <b val="1"/>
      <color rgb="002C3E50"/>
      <sz val="11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5DADE2"/>
        <bgColor rgb="005DADE2"/>
      </patternFill>
    </fill>
    <fill>
      <patternFill patternType="solid">
        <fgColor rgb="00E8F8F5"/>
        <bgColor rgb="00E8F8F5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25" customWidth="1" min="3" max="3"/>
    <col width="20" customWidth="1" min="4" max="4"/>
  </cols>
  <sheetData>
    <row r="1" ht="30" customHeight="1">
      <c r="A1" s="1" t="inlineStr">
        <is>
          <t>SIMULATEUR PORTAGE SALARIAL - TABLEAU DE TOUS LES CALCULS</t>
        </is>
      </c>
      <c r="B1" s="2" t="n"/>
      <c r="C1" s="2" t="n"/>
      <c r="D1" s="2" t="n"/>
    </row>
    <row r="3" ht="25" customHeight="1">
      <c r="A3" s="3" t="inlineStr">
        <is>
          <t>1. DU CA AU MONTANT DISPONIBLE</t>
        </is>
      </c>
      <c r="B3" s="4" t="n"/>
      <c r="C3" s="4" t="n"/>
      <c r="D3" s="4" t="n"/>
    </row>
    <row r="4" ht="22" customHeight="1">
      <c r="A4" s="5" t="inlineStr">
        <is>
          <t>Étape</t>
        </is>
      </c>
      <c r="B4" s="5" t="inlineStr">
        <is>
          <t>Formule</t>
        </is>
      </c>
      <c r="C4" s="5" t="inlineStr">
        <is>
          <t>Exemple</t>
        </is>
      </c>
      <c r="D4" s="5" t="inlineStr">
        <is>
          <t>Résultat</t>
        </is>
      </c>
    </row>
    <row r="5">
      <c r="A5" s="6" t="inlineStr">
        <is>
          <t>Chiffre d'Affaires (CA)</t>
        </is>
      </c>
      <c r="B5" s="6" t="inlineStr">
        <is>
          <t>TJM × Jours travaillés / mois</t>
        </is>
      </c>
      <c r="C5" s="6" t="inlineStr">
        <is>
          <t>500 × 18</t>
        </is>
      </c>
      <c r="D5" s="6" t="inlineStr">
        <is>
          <t>9 000 €</t>
        </is>
      </c>
    </row>
    <row r="6">
      <c r="A6" s="6" t="inlineStr">
        <is>
          <t>Frais de gestion</t>
        </is>
      </c>
      <c r="B6" s="6" t="inlineStr">
        <is>
          <t>CA × Taux gestion</t>
        </is>
      </c>
      <c r="C6" s="6" t="inlineStr">
        <is>
          <t>9 000 × 5%</t>
        </is>
      </c>
      <c r="D6" s="6" t="inlineStr">
        <is>
          <t>450 €</t>
        </is>
      </c>
    </row>
    <row r="7">
      <c r="A7" s="6" t="inlineStr">
        <is>
          <t>Frais d'intermédiation</t>
        </is>
      </c>
      <c r="B7" s="6" t="inlineStr">
        <is>
          <t>CA × Taux intermédiation (%)</t>
        </is>
      </c>
      <c r="C7" s="6" t="inlineStr">
        <is>
          <t>variable</t>
        </is>
      </c>
      <c r="D7" s="6" t="inlineStr">
        <is>
          <t>variable</t>
        </is>
      </c>
    </row>
    <row r="8">
      <c r="A8" s="7">
        <f> MONTANT DISPONIBLE</f>
        <v/>
      </c>
      <c r="B8" s="7" t="inlineStr">
        <is>
          <t>CA - Frais gestion - Frais intermédiation</t>
        </is>
      </c>
      <c r="C8" s="7" t="inlineStr">
        <is>
          <t>9 000 - 450</t>
        </is>
      </c>
      <c r="D8" s="7" t="inlineStr">
        <is>
          <t>8 550 €</t>
        </is>
      </c>
    </row>
    <row r="10" ht="25" customHeight="1">
      <c r="A10" s="3" t="inlineStr">
        <is>
          <t>2. CONSTRUCTION DU SALAIRE BRUT</t>
        </is>
      </c>
      <c r="B10" s="4" t="n"/>
      <c r="C10" s="4" t="n"/>
      <c r="D10" s="4" t="n"/>
    </row>
    <row r="11" ht="22" customHeight="1">
      <c r="A11" s="5" t="inlineStr">
        <is>
          <t>Composante</t>
        </is>
      </c>
      <c r="B11" s="5" t="inlineStr">
        <is>
          <t>Formule</t>
        </is>
      </c>
      <c r="C11" s="5" t="inlineStr">
        <is>
          <t>Base</t>
        </is>
      </c>
      <c r="D11" s="5" t="inlineStr">
        <is>
          <t>Résultat</t>
        </is>
      </c>
    </row>
    <row r="12">
      <c r="A12" s="6" t="inlineStr">
        <is>
          <t>Salaire de base</t>
        </is>
      </c>
      <c r="B12" s="6" t="inlineStr">
        <is>
          <t>2 374 € × (Jours_sem / 5)</t>
        </is>
      </c>
      <c r="C12" s="6" t="inlineStr">
        <is>
          <t>Paramètre config</t>
        </is>
      </c>
      <c r="D12" s="6" t="inlineStr">
        <is>
          <t>2 374 €</t>
        </is>
      </c>
    </row>
    <row r="13">
      <c r="A13" s="6" t="inlineStr">
        <is>
          <t>Prime d'apport</t>
        </is>
      </c>
      <c r="B13" s="6" t="inlineStr">
        <is>
          <t>Base × 5%</t>
        </is>
      </c>
      <c r="C13" s="6" t="inlineStr">
        <is>
          <t>5% du base</t>
        </is>
      </c>
      <c r="D13" s="6" t="inlineStr">
        <is>
          <t>118,70 €</t>
        </is>
      </c>
    </row>
    <row r="14">
      <c r="A14" s="6" t="inlineStr">
        <is>
          <t>Complément de rémunération</t>
        </is>
      </c>
      <c r="B14" s="6" t="inlineStr">
        <is>
          <t>Calculé par convergence itérative</t>
        </is>
      </c>
      <c r="C14" s="6" t="inlineStr">
        <is>
          <t>Variable</t>
        </is>
      </c>
      <c r="D14" s="6" t="inlineStr">
        <is>
          <t>variable</t>
        </is>
      </c>
    </row>
    <row r="15">
      <c r="A15" s="6" t="inlineStr">
        <is>
          <t>Complément d'apport d'affaires</t>
        </is>
      </c>
      <c r="B15" s="6" t="inlineStr">
        <is>
          <t>Complément × 5%</t>
        </is>
      </c>
      <c r="C15" s="6" t="inlineStr">
        <is>
          <t>5% du complément</t>
        </is>
      </c>
      <c r="D15" s="6" t="inlineStr">
        <is>
          <t>variable</t>
        </is>
      </c>
    </row>
    <row r="16">
      <c r="A16" s="6" t="inlineStr">
        <is>
          <t>Indemnité Congés Payés (ICP)</t>
        </is>
      </c>
      <c r="B16" s="6" t="inlineStr">
        <is>
          <t>10% × (Base + Prime + Complément + Compl.Apport)</t>
        </is>
      </c>
      <c r="C16" s="6" t="inlineStr">
        <is>
          <t>10% de la somme</t>
        </is>
      </c>
      <c r="D16" s="6" t="inlineStr">
        <is>
          <t>variable</t>
        </is>
      </c>
    </row>
    <row r="17">
      <c r="A17" s="7">
        <f> BRUT TOTAL</f>
        <v/>
      </c>
      <c r="B17" s="7" t="inlineStr">
        <is>
          <t>Somme des 5 composantes ci-dessus</t>
        </is>
      </c>
      <c r="C17" s="7" t="inlineStr"/>
      <c r="D17" s="7" t="inlineStr">
        <is>
          <t>variable</t>
        </is>
      </c>
    </row>
    <row r="19" ht="25" customHeight="1">
      <c r="A19" s="3" t="inlineStr">
        <is>
          <t>3. CONVERGENCE ITÉRATIVE DU TAUX DE CHARGES (50 itérations max)</t>
        </is>
      </c>
      <c r="B19" s="4" t="n"/>
      <c r="C19" s="4" t="n"/>
      <c r="D19" s="4" t="n"/>
    </row>
    <row r="20" ht="22" customHeight="1">
      <c r="A20" s="5" t="inlineStr">
        <is>
          <t>Étape</t>
        </is>
      </c>
      <c r="B20" s="5" t="inlineStr">
        <is>
          <t>Formule</t>
        </is>
      </c>
      <c r="C20" s="5" t="inlineStr">
        <is>
          <t>Détail</t>
        </is>
      </c>
      <c r="D20" s="5" t="inlineStr"/>
    </row>
    <row r="21">
      <c r="A21" s="6" t="inlineStr">
        <is>
          <t>Taux initial</t>
        </is>
      </c>
      <c r="B21" s="6" t="inlineStr">
        <is>
          <t>taux_charges = 0,55</t>
        </is>
      </c>
      <c r="C21" s="6" t="inlineStr">
        <is>
          <t>Point de départ</t>
        </is>
      </c>
      <c r="D21" s="6" t="inlineStr"/>
    </row>
    <row r="22">
      <c r="A22" s="6" t="inlineStr">
        <is>
          <t>Pool</t>
        </is>
      </c>
      <c r="B22" s="6" t="inlineStr">
        <is>
          <t>Budget_Salaire / (1 + taux_charges)</t>
        </is>
      </c>
      <c r="C22" s="6" t="inlineStr">
        <is>
          <t>Estimation du brut possible</t>
        </is>
      </c>
      <c r="D22" s="6" t="inlineStr"/>
    </row>
    <row r="23">
      <c r="A23" s="6" t="inlineStr">
        <is>
          <t>Complément total</t>
        </is>
      </c>
      <c r="B23" s="6" t="inlineStr">
        <is>
          <t>Pool - Base - Prime - Réserve_brute</t>
        </is>
      </c>
      <c r="C23" s="6" t="inlineStr">
        <is>
          <t>Ce qui reste pour le complément</t>
        </is>
      </c>
      <c r="D23" s="6" t="inlineStr"/>
    </row>
    <row r="24">
      <c r="A24" s="6" t="inlineStr">
        <is>
          <t>Brut estimé</t>
        </is>
      </c>
      <c r="B24" s="6" t="inlineStr">
        <is>
          <t>(Base + Prime + Complément) × (1 + taux_CP)</t>
        </is>
      </c>
      <c r="C24" s="6" t="inlineStr">
        <is>
          <t>Ajout des congés payés</t>
        </is>
      </c>
      <c r="D24" s="6" t="inlineStr"/>
    </row>
    <row r="25">
      <c r="A25" s="6" t="inlineStr">
        <is>
          <t>Calcul cotisations</t>
        </is>
      </c>
      <c r="B25" s="6" t="inlineStr">
        <is>
          <t>24 lignes de cotisations sur brut_est</t>
        </is>
      </c>
      <c r="C25" s="6" t="inlineStr">
        <is>
          <t>Voir onglet Cotisations</t>
        </is>
      </c>
      <c r="D25" s="6" t="inlineStr"/>
    </row>
    <row r="26">
      <c r="A26" s="6" t="inlineStr">
        <is>
          <t>Forfait social</t>
        </is>
      </c>
      <c r="B26" s="6" t="inlineStr">
        <is>
          <t>Prévoyance_Patronale_Total × 8%</t>
        </is>
      </c>
      <c r="C26" s="6" t="inlineStr">
        <is>
          <t>Sur prévoyance uniquement</t>
        </is>
      </c>
      <c r="D26" s="6" t="inlineStr"/>
    </row>
    <row r="27">
      <c r="A27" s="6" t="inlineStr">
        <is>
          <t>Charges brut</t>
        </is>
      </c>
      <c r="B27" s="6" t="inlineStr">
        <is>
          <t>Cotis_pat + Mutuelle_pat + TR_pat + Forfait_social</t>
        </is>
      </c>
      <c r="C27" s="6" t="inlineStr">
        <is>
          <t>Total charges patronales</t>
        </is>
      </c>
      <c r="D27" s="6" t="inlineStr"/>
    </row>
    <row r="28">
      <c r="A28" s="6" t="inlineStr">
        <is>
          <t>Charges marginales réserve</t>
        </is>
      </c>
      <c r="B28" s="6" t="inlineStr">
        <is>
          <t>Cotis(brut+réserve) - Cotis(brut) + réserve×taux_CP + mutuelle prorata</t>
        </is>
      </c>
      <c r="C28" s="6" t="inlineStr">
        <is>
          <t>Charges sur la réserve seule</t>
        </is>
      </c>
      <c r="D28" s="6" t="inlineStr"/>
    </row>
    <row r="29">
      <c r="A29" s="6" t="inlineStr">
        <is>
          <t>Nouveau taux</t>
        </is>
      </c>
      <c r="B29" s="6" t="inlineStr">
        <is>
          <t>(charges_brut + charges_réserve) / pool</t>
        </is>
      </c>
      <c r="C29" s="6" t="inlineStr">
        <is>
          <t>Taux recalculé</t>
        </is>
      </c>
      <c r="D29" s="6" t="inlineStr"/>
    </row>
    <row r="30">
      <c r="A30" s="6" t="inlineStr">
        <is>
          <t>Test convergence</t>
        </is>
      </c>
      <c r="B30" s="6" t="inlineStr">
        <is>
          <t>|nouveau_taux - ancien_taux| &lt; 0,00001</t>
        </is>
      </c>
      <c r="C30" s="6" t="inlineStr">
        <is>
          <t>Si oui → STOP</t>
        </is>
      </c>
      <c r="D30" s="6" t="inlineStr"/>
    </row>
    <row r="32" ht="25" customHeight="1">
      <c r="A32" s="3" t="inlineStr">
        <is>
          <t>4. FORFAIT SOCIAL</t>
        </is>
      </c>
      <c r="B32" s="4" t="n"/>
      <c r="C32" s="4" t="n"/>
      <c r="D32" s="4" t="n"/>
    </row>
    <row r="33" ht="22" customHeight="1">
      <c r="A33" s="5" t="inlineStr">
        <is>
          <t>Calcul</t>
        </is>
      </c>
      <c r="B33" s="5" t="inlineStr">
        <is>
          <t>Formule</t>
        </is>
      </c>
      <c r="C33" s="5" t="inlineStr"/>
      <c r="D33" s="5" t="inlineStr"/>
    </row>
    <row r="34">
      <c r="A34" s="6" t="inlineStr">
        <is>
          <t>Forfait social</t>
        </is>
      </c>
      <c r="B34" s="6" t="inlineStr">
        <is>
          <t>Total Prévoyance patronale × 8%</t>
        </is>
      </c>
      <c r="C34" s="6" t="inlineStr"/>
      <c r="D34" s="6" t="inlineStr"/>
    </row>
    <row r="36" ht="25" customHeight="1">
      <c r="A36" s="3" t="inlineStr">
        <is>
          <t>5. MUTUELLE</t>
        </is>
      </c>
      <c r="B36" s="4" t="n"/>
      <c r="C36" s="4" t="n"/>
      <c r="D36" s="4" t="n"/>
    </row>
    <row r="37" ht="22" customHeight="1">
      <c r="A37" s="5" t="inlineStr">
        <is>
          <t>Calcul</t>
        </is>
      </c>
      <c r="B37" s="5" t="inlineStr">
        <is>
          <t>Formule</t>
        </is>
      </c>
      <c r="C37" s="5" t="inlineStr">
        <is>
          <t>Valeur 2026</t>
        </is>
      </c>
      <c r="D37" s="5" t="inlineStr"/>
    </row>
    <row r="38">
      <c r="A38" s="6" t="inlineStr">
        <is>
          <t>Coût total mutuelle</t>
        </is>
      </c>
      <c r="B38" s="6" t="inlineStr">
        <is>
          <t>PMSS × Taux mutuelle</t>
        </is>
      </c>
      <c r="C38" s="6" t="inlineStr">
        <is>
          <t>4 005 × 1,5% = 60,08 €</t>
        </is>
      </c>
      <c r="D38" s="6" t="inlineStr"/>
    </row>
    <row r="39">
      <c r="A39" s="6" t="inlineStr">
        <is>
          <t>Part patron</t>
        </is>
      </c>
      <c r="B39" s="6" t="inlineStr">
        <is>
          <t>Total × 50%</t>
        </is>
      </c>
      <c r="C39" s="6" t="inlineStr">
        <is>
          <t>30,04 €</t>
        </is>
      </c>
      <c r="D39" s="6" t="inlineStr"/>
    </row>
    <row r="40">
      <c r="A40" s="6" t="inlineStr">
        <is>
          <t>Part salarié</t>
        </is>
      </c>
      <c r="B40" s="6" t="inlineStr">
        <is>
          <t>Total × 50%</t>
        </is>
      </c>
      <c r="C40" s="6" t="inlineStr">
        <is>
          <t>30,04 €</t>
        </is>
      </c>
      <c r="D40" s="6" t="inlineStr"/>
    </row>
    <row r="42" ht="25" customHeight="1">
      <c r="A42" s="3" t="inlineStr">
        <is>
          <t>6. TITRES RESTAURANT</t>
        </is>
      </c>
      <c r="B42" s="4" t="n"/>
      <c r="C42" s="4" t="n"/>
      <c r="D42" s="4" t="n"/>
    </row>
    <row r="43" ht="22" customHeight="1">
      <c r="A43" s="5" t="inlineStr">
        <is>
          <t>Calcul</t>
        </is>
      </c>
      <c r="B43" s="5" t="inlineStr">
        <is>
          <t>Formule</t>
        </is>
      </c>
      <c r="C43" s="5" t="inlineStr">
        <is>
          <t>Valeur unitaire</t>
        </is>
      </c>
      <c r="D43" s="5" t="inlineStr"/>
    </row>
    <row r="44">
      <c r="A44" s="6" t="inlineStr">
        <is>
          <t>Part patron</t>
        </is>
      </c>
      <c r="B44" s="6" t="inlineStr">
        <is>
          <t>Nb titres × 7,18 €</t>
        </is>
      </c>
      <c r="C44" s="6" t="inlineStr">
        <is>
          <t>7,18 €/titre</t>
        </is>
      </c>
      <c r="D44" s="6" t="inlineStr"/>
    </row>
    <row r="45">
      <c r="A45" s="6" t="inlineStr">
        <is>
          <t>Part salarié</t>
        </is>
      </c>
      <c r="B45" s="6" t="inlineStr">
        <is>
          <t>Nb titres × 7,18 €</t>
        </is>
      </c>
      <c r="C45" s="6" t="inlineStr">
        <is>
          <t>7,18 €/titre</t>
        </is>
      </c>
      <c r="D45" s="6" t="inlineStr"/>
    </row>
    <row r="46">
      <c r="A46" s="6" t="inlineStr">
        <is>
          <t>Valeur faciale titre</t>
        </is>
      </c>
      <c r="B46" s="6" t="inlineStr">
        <is>
          <t>Part patron + Part salarié</t>
        </is>
      </c>
      <c r="C46" s="6" t="inlineStr">
        <is>
          <t>14,36 €</t>
        </is>
      </c>
      <c r="D46" s="6" t="inlineStr"/>
    </row>
    <row r="48" ht="25" customHeight="1">
      <c r="A48" s="3" t="inlineStr">
        <is>
          <t>7. RGDU 2026 (Réduction Générale des Cotisations)</t>
        </is>
      </c>
      <c r="B48" s="4" t="n"/>
      <c r="C48" s="4" t="n"/>
      <c r="D48" s="4" t="n"/>
    </row>
    <row r="49" ht="22" customHeight="1">
      <c r="A49" s="5" t="inlineStr">
        <is>
          <t>Étape</t>
        </is>
      </c>
      <c r="B49" s="5" t="inlineStr">
        <is>
          <t>Formule</t>
        </is>
      </c>
      <c r="C49" s="5" t="inlineStr">
        <is>
          <t>Détail</t>
        </is>
      </c>
      <c r="D49" s="5" t="inlineStr"/>
    </row>
    <row r="50">
      <c r="A50" s="6" t="inlineStr">
        <is>
          <t>Condition d'éligibilité</t>
        </is>
      </c>
      <c r="B50" s="6" t="inlineStr">
        <is>
          <t>Brut_annuel &lt; 3 × SMIC_annuel</t>
        </is>
      </c>
      <c r="C50" s="6" t="inlineStr">
        <is>
          <t>&lt; 54 903,36 €/an</t>
        </is>
      </c>
      <c r="D50" s="6" t="inlineStr"/>
    </row>
    <row r="51">
      <c r="A51" s="6" t="inlineStr">
        <is>
          <t>Ratio</t>
        </is>
      </c>
      <c r="B51" s="6" t="inlineStr">
        <is>
          <t>(3 × SMIC_annuel / Brut_annuel) - 1</t>
        </is>
      </c>
      <c r="C51" s="6" t="inlineStr"/>
      <c r="D51" s="6" t="inlineStr"/>
    </row>
    <row r="52">
      <c r="A52" s="6" t="inlineStr">
        <is>
          <t>Base</t>
        </is>
      </c>
      <c r="B52" s="6" t="inlineStr">
        <is>
          <t>0,5 × ratio</t>
        </is>
      </c>
      <c r="C52" s="6" t="inlineStr"/>
      <c r="D52" s="6" t="inlineStr"/>
    </row>
    <row r="53">
      <c r="A53" s="6" t="inlineStr">
        <is>
          <t>Tdelta</t>
        </is>
      </c>
      <c r="B53" s="6" t="inlineStr">
        <is>
          <t>0,3781 (&lt;50 sal.) ou 0,3821 (≥50 sal.)</t>
        </is>
      </c>
      <c r="C53" s="6" t="inlineStr">
        <is>
          <t>Dépend effectif / FNAL</t>
        </is>
      </c>
      <c r="D53" s="6" t="inlineStr"/>
    </row>
    <row r="54">
      <c r="A54" s="6" t="inlineStr">
        <is>
          <t>Coefficient</t>
        </is>
      </c>
      <c r="B54" s="6" t="inlineStr">
        <is>
          <t>0,02 + Tdelta × base^1,75</t>
        </is>
      </c>
      <c r="C54" s="6" t="inlineStr">
        <is>
          <t>Plafonné à 0,02 + Tdelta</t>
        </is>
      </c>
      <c r="D54" s="6" t="inlineStr"/>
    </row>
    <row r="55">
      <c r="A55" s="7">
        <f> Réduction RGDU</f>
        <v/>
      </c>
      <c r="B55" s="7" t="inlineStr">
        <is>
          <t>Brut_mensuel × coefficient</t>
        </is>
      </c>
      <c r="C55" s="7" t="inlineStr">
        <is>
          <t>Déduite des charges pat.</t>
        </is>
      </c>
      <c r="D55" s="7" t="inlineStr"/>
    </row>
    <row r="57" ht="25" customHeight="1">
      <c r="A57" s="3" t="inlineStr">
        <is>
          <t>8. CHARGES TOTALES</t>
        </is>
      </c>
      <c r="B57" s="4" t="n"/>
      <c r="C57" s="4" t="n"/>
      <c r="D57" s="4" t="n"/>
    </row>
    <row r="58" ht="22" customHeight="1">
      <c r="A58" s="5" t="inlineStr">
        <is>
          <t>Calcul</t>
        </is>
      </c>
      <c r="B58" s="5" t="inlineStr">
        <is>
          <t>Formule</t>
        </is>
      </c>
      <c r="C58" s="5" t="inlineStr"/>
      <c r="D58" s="5" t="inlineStr"/>
    </row>
    <row r="59">
      <c r="A59" s="6" t="inlineStr">
        <is>
          <t>Charges patronales avant RGDU</t>
        </is>
      </c>
      <c r="B59" s="6" t="inlineStr">
        <is>
          <t>Cotis_pat + Mutuelle_pat + TR_pat + Forfait_social</t>
        </is>
      </c>
      <c r="C59" s="6" t="inlineStr"/>
      <c r="D59" s="6" t="inlineStr"/>
    </row>
    <row r="60">
      <c r="A60" s="6" t="inlineStr">
        <is>
          <t>Charges patronales après RGDU</t>
        </is>
      </c>
      <c r="B60" s="6" t="inlineStr">
        <is>
          <t>Charges_avant - Réduction_RGDU</t>
        </is>
      </c>
      <c r="C60" s="6" t="inlineStr"/>
      <c r="D60" s="6" t="inlineStr"/>
    </row>
    <row r="61">
      <c r="A61" s="6" t="inlineStr">
        <is>
          <t>Charges salariales</t>
        </is>
      </c>
      <c r="B61" s="6" t="inlineStr">
        <is>
          <t>Cotis_sal + Mutuelle_sal + TR_sal</t>
        </is>
      </c>
      <c r="C61" s="6" t="inlineStr"/>
      <c r="D61" s="6" t="inlineStr"/>
    </row>
    <row r="62">
      <c r="A62" s="7">
        <f> TOTAL CHARGES</f>
        <v/>
      </c>
      <c r="B62" s="7" t="inlineStr">
        <is>
          <t>Charges patronales + Charges salariales</t>
        </is>
      </c>
      <c r="C62" s="7" t="inlineStr"/>
      <c r="D62" s="7" t="inlineStr"/>
    </row>
    <row r="64" ht="25" customHeight="1">
      <c r="A64" s="3" t="inlineStr">
        <is>
          <t>9. PROVISION / RÉSERVE FINANCIÈRE</t>
        </is>
      </c>
      <c r="B64" s="4" t="n"/>
      <c r="C64" s="4" t="n"/>
      <c r="D64" s="4" t="n"/>
    </row>
    <row r="65" ht="22" customHeight="1">
      <c r="A65" s="5" t="inlineStr">
        <is>
          <t>Calcul</t>
        </is>
      </c>
      <c r="B65" s="5" t="inlineStr">
        <is>
          <t>Formule</t>
        </is>
      </c>
      <c r="C65" s="5" t="inlineStr">
        <is>
          <t>Détail</t>
        </is>
      </c>
      <c r="D65" s="5" t="inlineStr"/>
    </row>
    <row r="66">
      <c r="A66" s="6" t="inlineStr">
        <is>
          <t>Réserve brute</t>
        </is>
      </c>
      <c r="B66" s="6" t="inlineStr">
        <is>
          <t>Base × (Jours_sem/5) × 10%</t>
        </is>
      </c>
      <c r="C66" s="6" t="inlineStr">
        <is>
          <t>~237 €</t>
        </is>
      </c>
      <c r="D66" s="6" t="inlineStr"/>
    </row>
    <row r="67">
      <c r="A67" s="6" t="inlineStr">
        <is>
          <t>Provision réserve financière</t>
        </is>
      </c>
      <c r="B67" s="6" t="inlineStr">
        <is>
          <t>MONTANT DISPO - (Brut + Charges patronales)</t>
        </is>
      </c>
      <c r="C67" s="6" t="inlineStr">
        <is>
          <t>Inclut réserve + charges futures</t>
        </is>
      </c>
      <c r="D67" s="6" t="inlineStr"/>
    </row>
    <row r="68">
      <c r="A68" s="6" t="inlineStr">
        <is>
          <t>Dont réserve brute</t>
        </is>
      </c>
      <c r="B68" s="6" t="inlineStr">
        <is>
          <t>Part versée au consultant</t>
        </is>
      </c>
      <c r="C68" s="6" t="inlineStr">
        <is>
          <t>~237 €</t>
        </is>
      </c>
      <c r="D68" s="6" t="inlineStr"/>
    </row>
    <row r="69">
      <c r="A69" s="6" t="inlineStr">
        <is>
          <t>Dont charges futures sur réserve</t>
        </is>
      </c>
      <c r="B69" s="6" t="inlineStr">
        <is>
          <t>Cotisations marginales sur la réserve</t>
        </is>
      </c>
      <c r="C69" s="6" t="inlineStr">
        <is>
          <t>~123 €</t>
        </is>
      </c>
      <c r="D69" s="6" t="inlineStr"/>
    </row>
    <row r="71" ht="25" customHeight="1">
      <c r="A71" s="3" t="inlineStr">
        <is>
          <t>10. DU BRUT AU NET</t>
        </is>
      </c>
      <c r="B71" s="4" t="n"/>
      <c r="C71" s="4" t="n"/>
      <c r="D71" s="4" t="n"/>
    </row>
    <row r="72" ht="22" customHeight="1">
      <c r="A72" s="5" t="inlineStr">
        <is>
          <t>Étape</t>
        </is>
      </c>
      <c r="B72" s="5" t="inlineStr">
        <is>
          <t>Formule</t>
        </is>
      </c>
      <c r="C72" s="5" t="inlineStr">
        <is>
          <t>Détail</t>
        </is>
      </c>
      <c r="D72" s="5" t="inlineStr"/>
    </row>
    <row r="73">
      <c r="A73" s="6" t="inlineStr">
        <is>
          <t>Net avant impôt</t>
        </is>
      </c>
      <c r="B73" s="6" t="inlineStr">
        <is>
          <t>Brut - Charges salariales</t>
        </is>
      </c>
      <c r="C73" s="6" t="inlineStr"/>
      <c r="D73" s="6" t="inlineStr"/>
    </row>
    <row r="74">
      <c r="A74" s="6" t="inlineStr">
        <is>
          <t>+ Forfait télétravail</t>
        </is>
      </c>
      <c r="B74" s="6" t="inlineStr">
        <is>
          <t>min(Jours_TT, 22) × 2,70 €/jour</t>
        </is>
      </c>
      <c r="C74" s="6" t="inlineStr">
        <is>
          <t>Non imposable</t>
        </is>
      </c>
      <c r="D74" s="6" t="inlineStr"/>
    </row>
    <row r="75">
      <c r="A75" s="6" t="inlineStr">
        <is>
          <t>+ IK (Indemnités km)</t>
        </is>
      </c>
      <c r="B75" s="6" t="inlineStr">
        <is>
          <t>km × barème (0,316 à 0,697 €/km)</t>
        </is>
      </c>
      <c r="C75" s="6" t="inlineStr">
        <is>
          <t>Non imposable</t>
        </is>
      </c>
      <c r="D75" s="6" t="inlineStr"/>
    </row>
    <row r="76">
      <c r="A76" s="6" t="inlineStr">
        <is>
          <t>+ IGD repas</t>
        </is>
      </c>
      <c r="B76" s="6" t="inlineStr">
        <is>
          <t>Nb repas × 21,60 €</t>
        </is>
      </c>
      <c r="C76" s="6" t="inlineStr">
        <is>
          <t>Non imposable</t>
        </is>
      </c>
      <c r="D76" s="6" t="inlineStr"/>
    </row>
    <row r="77">
      <c r="A77" s="6" t="inlineStr">
        <is>
          <t>+ IGD nuits province</t>
        </is>
      </c>
      <c r="B77" s="6" t="inlineStr">
        <is>
          <t>Nb nuits × 57,80 €</t>
        </is>
      </c>
      <c r="C77" s="6" t="inlineStr">
        <is>
          <t>Non imposable</t>
        </is>
      </c>
      <c r="D77" s="6" t="inlineStr"/>
    </row>
    <row r="78">
      <c r="A78" s="6" t="inlineStr">
        <is>
          <t>+ IGD nuits Paris/IDF</t>
        </is>
      </c>
      <c r="B78" s="6" t="inlineStr">
        <is>
          <t>Nb nuits × 76,70 €</t>
        </is>
      </c>
      <c r="C78" s="6" t="inlineStr">
        <is>
          <t>Non imposable</t>
        </is>
      </c>
      <c r="D78" s="6" t="inlineStr"/>
    </row>
    <row r="79">
      <c r="A79" s="6" t="inlineStr">
        <is>
          <t>+ Autres frais</t>
        </is>
      </c>
      <c r="B79" s="6" t="inlineStr">
        <is>
          <t>Internet, transport, divers</t>
        </is>
      </c>
      <c r="C79" s="6" t="inlineStr">
        <is>
          <t>Non imposable</t>
        </is>
      </c>
      <c r="D79" s="6" t="inlineStr"/>
    </row>
    <row r="80">
      <c r="A80" s="7">
        <f> NET À PAYER</f>
        <v/>
      </c>
      <c r="B80" s="7" t="inlineStr">
        <is>
          <t>Net avant impôt + Total remboursements frais</t>
        </is>
      </c>
      <c r="C80" s="7" t="inlineStr"/>
      <c r="D80" s="7" t="inlineStr"/>
    </row>
    <row r="82" ht="25" customHeight="1">
      <c r="A82" s="3" t="inlineStr">
        <is>
          <t>11. VÉRIFICATION D'ÉQUILIBRE</t>
        </is>
      </c>
      <c r="B82" s="4" t="n"/>
      <c r="C82" s="4" t="n"/>
      <c r="D82" s="4" t="n"/>
    </row>
    <row r="83" ht="22" customHeight="1">
      <c r="A83" s="5" t="inlineStr">
        <is>
          <t>Contrôle</t>
        </is>
      </c>
      <c r="B83" s="5" t="inlineStr">
        <is>
          <t>Formule</t>
        </is>
      </c>
      <c r="C83" s="5" t="inlineStr"/>
      <c r="D83" s="5" t="inlineStr"/>
    </row>
    <row r="84">
      <c r="A84" s="6" t="inlineStr">
        <is>
          <t>Équilibre CA</t>
        </is>
      </c>
      <c r="B84" s="6" t="inlineStr">
        <is>
          <t>CA = Frais gestion + Brut + Charges patronales + Provision réserve</t>
        </is>
      </c>
      <c r="C84" s="6" t="inlineStr"/>
      <c r="D84" s="6" t="inlineStr"/>
    </row>
    <row r="85">
      <c r="A85" s="6" t="inlineStr">
        <is>
          <t>Équilibre Brut</t>
        </is>
      </c>
      <c r="B85" s="6" t="inlineStr">
        <is>
          <t>Brut = Net avant impôt + Charges salariales</t>
        </is>
      </c>
      <c r="C85" s="6" t="inlineStr"/>
      <c r="D85" s="6" t="inlineStr"/>
    </row>
  </sheetData>
  <mergeCells count="12">
    <mergeCell ref="A1:D1"/>
    <mergeCell ref="A48:D48"/>
    <mergeCell ref="A3:D3"/>
    <mergeCell ref="A64:D64"/>
    <mergeCell ref="A82:D82"/>
    <mergeCell ref="A57:D57"/>
    <mergeCell ref="A19:D19"/>
    <mergeCell ref="A71:D71"/>
    <mergeCell ref="A10:D10"/>
    <mergeCell ref="A42:D42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18" customWidth="1" min="4" max="4"/>
    <col width="40" customWidth="1" min="5" max="5"/>
  </cols>
  <sheetData>
    <row r="1" ht="30" customHeight="1">
      <c r="A1" s="1" t="inlineStr">
        <is>
          <t>DÉTAIL DES 24 COTISATIONS SOCIALES</t>
        </is>
      </c>
      <c r="B1" s="2" t="n"/>
      <c r="C1" s="2" t="n"/>
      <c r="D1" s="2" t="n"/>
      <c r="E1" s="2" t="n"/>
    </row>
    <row r="3" ht="22" customHeight="1">
      <c r="A3" s="8" t="inlineStr">
        <is>
          <t>ASSIETTE TOTALITÉ = 100% du Brut</t>
        </is>
      </c>
      <c r="B3" s="9" t="n"/>
      <c r="C3" s="9" t="n"/>
      <c r="D3" s="9" t="n"/>
      <c r="E3" s="9" t="n"/>
    </row>
    <row r="4" ht="22" customHeight="1">
      <c r="A4" s="5" t="inlineStr">
        <is>
          <t>Cotisation</t>
        </is>
      </c>
      <c r="B4" s="5" t="inlineStr">
        <is>
          <t>Assiette</t>
        </is>
      </c>
      <c r="C4" s="5" t="inlineStr">
        <is>
          <t>Taux Patron</t>
        </is>
      </c>
      <c r="D4" s="5" t="inlineStr">
        <is>
          <t>Taux Salarié</t>
        </is>
      </c>
      <c r="E4" s="5" t="inlineStr">
        <is>
          <t>Formule</t>
        </is>
      </c>
    </row>
    <row r="5">
      <c r="A5" s="6" t="inlineStr">
        <is>
          <t>Maladie</t>
        </is>
      </c>
      <c r="B5" s="6" t="inlineStr">
        <is>
          <t>TOTALITÉ</t>
        </is>
      </c>
      <c r="C5" s="6" t="inlineStr">
        <is>
          <t>7,00%</t>
        </is>
      </c>
      <c r="D5" s="6" t="inlineStr">
        <is>
          <t>—</t>
        </is>
      </c>
      <c r="E5" s="6" t="inlineStr">
        <is>
          <t>Brut × taux</t>
        </is>
      </c>
    </row>
    <row r="6">
      <c r="A6" s="6" t="inlineStr">
        <is>
          <t>Maladie complémentaire</t>
        </is>
      </c>
      <c r="B6" s="6" t="inlineStr">
        <is>
          <t>TOTALITÉ</t>
        </is>
      </c>
      <c r="C6" s="6" t="inlineStr">
        <is>
          <t>6,00%</t>
        </is>
      </c>
      <c r="D6" s="6" t="inlineStr">
        <is>
          <t>—</t>
        </is>
      </c>
      <c r="E6" s="6" t="inlineStr">
        <is>
          <t>Brut × taux</t>
        </is>
      </c>
    </row>
    <row r="7">
      <c r="A7" s="6" t="inlineStr">
        <is>
          <t>CSA (Autonomie solidarité)</t>
        </is>
      </c>
      <c r="B7" s="6" t="inlineStr">
        <is>
          <t>TOTALITÉ</t>
        </is>
      </c>
      <c r="C7" s="6" t="inlineStr">
        <is>
          <t>0,30%</t>
        </is>
      </c>
      <c r="D7" s="6" t="inlineStr">
        <is>
          <t>—</t>
        </is>
      </c>
      <c r="E7" s="6" t="inlineStr">
        <is>
          <t>Brut × taux</t>
        </is>
      </c>
    </row>
    <row r="8">
      <c r="A8" s="6" t="inlineStr">
        <is>
          <t>Vieillesse déplafonnée</t>
        </is>
      </c>
      <c r="B8" s="6" t="inlineStr">
        <is>
          <t>TOTALITÉ</t>
        </is>
      </c>
      <c r="C8" s="6" t="inlineStr">
        <is>
          <t>2,11%</t>
        </is>
      </c>
      <c r="D8" s="6" t="inlineStr">
        <is>
          <t>0,40%</t>
        </is>
      </c>
      <c r="E8" s="6" t="inlineStr">
        <is>
          <t>Brut × taux</t>
        </is>
      </c>
    </row>
    <row r="9">
      <c r="A9" s="6" t="inlineStr">
        <is>
          <t>Allocations familiales</t>
        </is>
      </c>
      <c r="B9" s="6" t="inlineStr">
        <is>
          <t>TOTALITÉ</t>
        </is>
      </c>
      <c r="C9" s="6" t="inlineStr">
        <is>
          <t>3,45%</t>
        </is>
      </c>
      <c r="D9" s="6" t="inlineStr">
        <is>
          <t>—</t>
        </is>
      </c>
      <c r="E9" s="6" t="inlineStr">
        <is>
          <t>Brut × taux</t>
        </is>
      </c>
    </row>
    <row r="10">
      <c r="A10" s="6" t="inlineStr">
        <is>
          <t>AF complémentaire</t>
        </is>
      </c>
      <c r="B10" s="6" t="inlineStr">
        <is>
          <t>TOTALITÉ</t>
        </is>
      </c>
      <c r="C10" s="6" t="inlineStr">
        <is>
          <t>1,80%</t>
        </is>
      </c>
      <c r="D10" s="6" t="inlineStr">
        <is>
          <t>—</t>
        </is>
      </c>
      <c r="E10" s="6" t="inlineStr">
        <is>
          <t>Brut × taux</t>
        </is>
      </c>
    </row>
    <row r="11">
      <c r="A11" s="6" t="inlineStr">
        <is>
          <t>AT/MP (Accident travail)</t>
        </is>
      </c>
      <c r="B11" s="6" t="inlineStr">
        <is>
          <t>TOTALITÉ</t>
        </is>
      </c>
      <c r="C11" s="6" t="inlineStr">
        <is>
          <t>0,64%</t>
        </is>
      </c>
      <c r="D11" s="6" t="inlineStr">
        <is>
          <t>—</t>
        </is>
      </c>
      <c r="E11" s="6" t="inlineStr">
        <is>
          <t>Brut × taux (configurable)</t>
        </is>
      </c>
    </row>
    <row r="12">
      <c r="A12" s="6" t="inlineStr">
        <is>
          <t>Chômage</t>
        </is>
      </c>
      <c r="B12" s="6" t="inlineStr">
        <is>
          <t>TOTALITÉ</t>
        </is>
      </c>
      <c r="C12" s="6" t="inlineStr">
        <is>
          <t>4,00%</t>
        </is>
      </c>
      <c r="D12" s="6" t="inlineStr">
        <is>
          <t>—</t>
        </is>
      </c>
      <c r="E12" s="6" t="inlineStr">
        <is>
          <t>Brut × taux</t>
        </is>
      </c>
    </row>
    <row r="13">
      <c r="A13" s="6" t="inlineStr">
        <is>
          <t>AGS</t>
        </is>
      </c>
      <c r="B13" s="6" t="inlineStr">
        <is>
          <t>TOTALITÉ</t>
        </is>
      </c>
      <c r="C13" s="6" t="inlineStr">
        <is>
          <t>0,25%</t>
        </is>
      </c>
      <c r="D13" s="6" t="inlineStr">
        <is>
          <t>—</t>
        </is>
      </c>
      <c r="E13" s="6" t="inlineStr">
        <is>
          <t>Brut × taux</t>
        </is>
      </c>
    </row>
    <row r="14">
      <c r="A14" s="6" t="inlineStr">
        <is>
          <t>Formation professionnelle</t>
        </is>
      </c>
      <c r="B14" s="6" t="inlineStr">
        <is>
          <t>TOTALITÉ</t>
        </is>
      </c>
      <c r="C14" s="6" t="inlineStr">
        <is>
          <t>1,00%</t>
        </is>
      </c>
      <c r="D14" s="6" t="inlineStr">
        <is>
          <t>—</t>
        </is>
      </c>
      <c r="E14" s="6" t="inlineStr">
        <is>
          <t>Brut × taux</t>
        </is>
      </c>
    </row>
    <row r="15">
      <c r="A15" s="6" t="inlineStr">
        <is>
          <t>Taxe d'apprentissage</t>
        </is>
      </c>
      <c r="B15" s="6" t="inlineStr">
        <is>
          <t>TOTALITÉ</t>
        </is>
      </c>
      <c r="C15" s="6" t="inlineStr">
        <is>
          <t>0,59%</t>
        </is>
      </c>
      <c r="D15" s="6" t="inlineStr">
        <is>
          <t>—</t>
        </is>
      </c>
      <c r="E15" s="6" t="inlineStr">
        <is>
          <t>Brut × taux</t>
        </is>
      </c>
    </row>
    <row r="16">
      <c r="A16" s="6" t="inlineStr">
        <is>
          <t>Taxe apprentissage libératoire</t>
        </is>
      </c>
      <c r="B16" s="6" t="inlineStr">
        <is>
          <t>TOTALITÉ</t>
        </is>
      </c>
      <c r="C16" s="6" t="inlineStr">
        <is>
          <t>0,09%</t>
        </is>
      </c>
      <c r="D16" s="6" t="inlineStr">
        <is>
          <t>—</t>
        </is>
      </c>
      <c r="E16" s="6" t="inlineStr">
        <is>
          <t>Brut × taux</t>
        </is>
      </c>
    </row>
    <row r="17">
      <c r="A17" s="6" t="inlineStr">
        <is>
          <t>Dialogue social</t>
        </is>
      </c>
      <c r="B17" s="6" t="inlineStr">
        <is>
          <t>TOTALITÉ</t>
        </is>
      </c>
      <c r="C17" s="6" t="inlineStr">
        <is>
          <t>0,01%</t>
        </is>
      </c>
      <c r="D17" s="6" t="inlineStr">
        <is>
          <t>—</t>
        </is>
      </c>
      <c r="E17" s="6" t="inlineStr">
        <is>
          <t>Brut × taux</t>
        </is>
      </c>
    </row>
    <row r="19" ht="22" customHeight="1">
      <c r="A19" s="8" t="inlineStr">
        <is>
          <t>ASSIETTE TRANCHE A = min(Brut, PMSS = 4 005 €)</t>
        </is>
      </c>
      <c r="B19" s="9" t="n"/>
      <c r="C19" s="9" t="n"/>
      <c r="D19" s="9" t="n"/>
      <c r="E19" s="9" t="n"/>
    </row>
    <row r="20" ht="22" customHeight="1">
      <c r="A20" s="5" t="inlineStr">
        <is>
          <t>Cotisation</t>
        </is>
      </c>
      <c r="B20" s="5" t="inlineStr">
        <is>
          <t>Assiette</t>
        </is>
      </c>
      <c r="C20" s="5" t="inlineStr">
        <is>
          <t>Taux Patron</t>
        </is>
      </c>
      <c r="D20" s="5" t="inlineStr">
        <is>
          <t>Taux Salarié</t>
        </is>
      </c>
      <c r="E20" s="5" t="inlineStr">
        <is>
          <t>Formule</t>
        </is>
      </c>
    </row>
    <row r="21">
      <c r="A21" s="6" t="inlineStr">
        <is>
          <t>Vieillesse plafonnée</t>
        </is>
      </c>
      <c r="B21" s="6" t="inlineStr">
        <is>
          <t>TRANCHE A</t>
        </is>
      </c>
      <c r="C21" s="6" t="inlineStr">
        <is>
          <t>8,55%</t>
        </is>
      </c>
      <c r="D21" s="6" t="inlineStr">
        <is>
          <t>6,90%</t>
        </is>
      </c>
      <c r="E21" s="6" t="inlineStr">
        <is>
          <t>min(Brut, PMSS) × taux</t>
        </is>
      </c>
    </row>
    <row r="22">
      <c r="A22" s="6" t="inlineStr">
        <is>
          <t>FNAL</t>
        </is>
      </c>
      <c r="B22" s="6" t="inlineStr">
        <is>
          <t>TRANCHE A</t>
        </is>
      </c>
      <c r="C22" s="6" t="inlineStr">
        <is>
          <t>0,10% ou 0,50%</t>
        </is>
      </c>
      <c r="D22" s="6" t="inlineStr">
        <is>
          <t>—</t>
        </is>
      </c>
      <c r="E22" s="6" t="inlineStr">
        <is>
          <t>0,10% si &lt;50 sal. / 0,50% si ≥50</t>
        </is>
      </c>
    </row>
    <row r="23">
      <c r="A23" s="6" t="inlineStr">
        <is>
          <t>Retraite AGIRC-ARRCO T1</t>
        </is>
      </c>
      <c r="B23" s="6" t="inlineStr">
        <is>
          <t>TRANCHE A</t>
        </is>
      </c>
      <c r="C23" s="6" t="inlineStr">
        <is>
          <t>4,72%</t>
        </is>
      </c>
      <c r="D23" s="6" t="inlineStr">
        <is>
          <t>3,15%</t>
        </is>
      </c>
      <c r="E23" s="6" t="inlineStr">
        <is>
          <t>min(Brut, PMSS) × taux</t>
        </is>
      </c>
    </row>
    <row r="24">
      <c r="A24" s="6" t="inlineStr">
        <is>
          <t>CEG T1</t>
        </is>
      </c>
      <c r="B24" s="6" t="inlineStr">
        <is>
          <t>TRANCHE A</t>
        </is>
      </c>
      <c r="C24" s="6" t="inlineStr">
        <is>
          <t>1,29%</t>
        </is>
      </c>
      <c r="D24" s="6" t="inlineStr">
        <is>
          <t>0,86%</t>
        </is>
      </c>
      <c r="E24" s="6" t="inlineStr">
        <is>
          <t>min(Brut, PMSS) × taux</t>
        </is>
      </c>
    </row>
    <row r="25">
      <c r="A25" s="6" t="inlineStr">
        <is>
          <t>CET T1</t>
        </is>
      </c>
      <c r="B25" s="6" t="inlineStr">
        <is>
          <t>TRANCHE A</t>
        </is>
      </c>
      <c r="C25" s="6" t="inlineStr">
        <is>
          <t>0,21%</t>
        </is>
      </c>
      <c r="D25" s="6" t="inlineStr">
        <is>
          <t>0,14%</t>
        </is>
      </c>
      <c r="E25" s="6" t="inlineStr">
        <is>
          <t>min(Brut, PMSS) × taux</t>
        </is>
      </c>
    </row>
    <row r="26">
      <c r="A26" s="6" t="inlineStr">
        <is>
          <t>APEC T1</t>
        </is>
      </c>
      <c r="B26" s="6" t="inlineStr">
        <is>
          <t>TRANCHE A</t>
        </is>
      </c>
      <c r="C26" s="6" t="inlineStr">
        <is>
          <t>0,036%</t>
        </is>
      </c>
      <c r="D26" s="6" t="inlineStr">
        <is>
          <t>0,024%</t>
        </is>
      </c>
      <c r="E26" s="6" t="inlineStr">
        <is>
          <t>min(Brut, PMSS) × taux</t>
        </is>
      </c>
    </row>
    <row r="27">
      <c r="A27" s="6" t="inlineStr">
        <is>
          <t>Prévoyance décès</t>
        </is>
      </c>
      <c r="B27" s="6" t="inlineStr">
        <is>
          <t>TRANCHE A</t>
        </is>
      </c>
      <c r="C27" s="6" t="inlineStr">
        <is>
          <t>1,59%</t>
        </is>
      </c>
      <c r="D27" s="6" t="inlineStr">
        <is>
          <t>—</t>
        </is>
      </c>
      <c r="E27" s="6" t="inlineStr">
        <is>
          <t>min(Brut, PMSS) × taux</t>
        </is>
      </c>
    </row>
    <row r="29" ht="22" customHeight="1">
      <c r="A29" s="8" t="inlineStr">
        <is>
          <t>ASSIETTE TRANCHE B = max(0, Brut - PMSS)</t>
        </is>
      </c>
      <c r="B29" s="9" t="n"/>
      <c r="C29" s="9" t="n"/>
      <c r="D29" s="9" t="n"/>
      <c r="E29" s="9" t="n"/>
    </row>
    <row r="30" ht="22" customHeight="1">
      <c r="A30" s="5" t="inlineStr">
        <is>
          <t>Cotisation</t>
        </is>
      </c>
      <c r="B30" s="5" t="inlineStr">
        <is>
          <t>Assiette</t>
        </is>
      </c>
      <c r="C30" s="5" t="inlineStr">
        <is>
          <t>Taux Patron</t>
        </is>
      </c>
      <c r="D30" s="5" t="inlineStr">
        <is>
          <t>Taux Salarié</t>
        </is>
      </c>
      <c r="E30" s="5" t="inlineStr">
        <is>
          <t>Formule</t>
        </is>
      </c>
    </row>
    <row r="31">
      <c r="A31" s="6" t="inlineStr">
        <is>
          <t>Retraite AGIRC-ARRCO T2</t>
        </is>
      </c>
      <c r="B31" s="6" t="inlineStr">
        <is>
          <t>TRANCHE B</t>
        </is>
      </c>
      <c r="C31" s="6" t="inlineStr">
        <is>
          <t>12,95%</t>
        </is>
      </c>
      <c r="D31" s="6" t="inlineStr">
        <is>
          <t>8,64%</t>
        </is>
      </c>
      <c r="E31" s="6" t="inlineStr">
        <is>
          <t>max(0, Brut-PMSS) × taux</t>
        </is>
      </c>
    </row>
    <row r="32">
      <c r="A32" s="6" t="inlineStr">
        <is>
          <t>CEG T2</t>
        </is>
      </c>
      <c r="B32" s="6" t="inlineStr">
        <is>
          <t>TRANCHE B</t>
        </is>
      </c>
      <c r="C32" s="6" t="inlineStr">
        <is>
          <t>1,62%</t>
        </is>
      </c>
      <c r="D32" s="6" t="inlineStr">
        <is>
          <t>1,08%</t>
        </is>
      </c>
      <c r="E32" s="6" t="inlineStr">
        <is>
          <t>max(0, Brut-PMSS) × taux</t>
        </is>
      </c>
    </row>
    <row r="33">
      <c r="A33" s="6" t="inlineStr">
        <is>
          <t>CET T2</t>
        </is>
      </c>
      <c r="B33" s="6" t="inlineStr">
        <is>
          <t>TRANCHE B</t>
        </is>
      </c>
      <c r="C33" s="6" t="inlineStr">
        <is>
          <t>0,21%</t>
        </is>
      </c>
      <c r="D33" s="6" t="inlineStr">
        <is>
          <t>0,14%</t>
        </is>
      </c>
      <c r="E33" s="6" t="inlineStr">
        <is>
          <t>max(0, Brut-PMSS) × taux</t>
        </is>
      </c>
    </row>
    <row r="34">
      <c r="A34" s="6" t="inlineStr">
        <is>
          <t>APEC T2</t>
        </is>
      </c>
      <c r="B34" s="6" t="inlineStr">
        <is>
          <t>TRANCHE B</t>
        </is>
      </c>
      <c r="C34" s="6" t="inlineStr">
        <is>
          <t>0,036%</t>
        </is>
      </c>
      <c r="D34" s="6" t="inlineStr">
        <is>
          <t>0,024%</t>
        </is>
      </c>
      <c r="E34" s="6" t="inlineStr">
        <is>
          <t>max(0, Brut-PMSS) × taux</t>
        </is>
      </c>
    </row>
    <row r="35">
      <c r="A35" s="6" t="inlineStr">
        <is>
          <t>Prévoyance supplémentaire T2</t>
        </is>
      </c>
      <c r="B35" s="6" t="inlineStr">
        <is>
          <t>TRANCHE B</t>
        </is>
      </c>
      <c r="C35" s="6" t="inlineStr">
        <is>
          <t>0,73%</t>
        </is>
      </c>
      <c r="D35" s="6" t="inlineStr">
        <is>
          <t>0,73%</t>
        </is>
      </c>
      <c r="E35" s="6" t="inlineStr">
        <is>
          <t>max(0, Brut-PMSS) × taux</t>
        </is>
      </c>
    </row>
    <row r="37" ht="22" customHeight="1">
      <c r="A37" s="8" t="inlineStr">
        <is>
          <t>ASSIETTE CSG = 98,25% × Brut + Prévoyance patronale</t>
        </is>
      </c>
      <c r="B37" s="9" t="n"/>
      <c r="C37" s="9" t="n"/>
      <c r="D37" s="9" t="n"/>
      <c r="E37" s="9" t="n"/>
    </row>
    <row r="38" ht="22" customHeight="1">
      <c r="A38" s="5" t="inlineStr">
        <is>
          <t>Cotisation</t>
        </is>
      </c>
      <c r="B38" s="5" t="inlineStr">
        <is>
          <t>Assiette</t>
        </is>
      </c>
      <c r="C38" s="5" t="inlineStr">
        <is>
          <t>Taux Patron</t>
        </is>
      </c>
      <c r="D38" s="5" t="inlineStr">
        <is>
          <t>Taux Salarié</t>
        </is>
      </c>
      <c r="E38" s="5" t="inlineStr">
        <is>
          <t>Formule</t>
        </is>
      </c>
    </row>
    <row r="39">
      <c r="A39" s="6" t="inlineStr">
        <is>
          <t>CSG déductible</t>
        </is>
      </c>
      <c r="B39" s="6" t="inlineStr">
        <is>
          <t>CSG</t>
        </is>
      </c>
      <c r="C39" s="6" t="inlineStr">
        <is>
          <t>—</t>
        </is>
      </c>
      <c r="D39" s="6" t="inlineStr">
        <is>
          <t>6,80%</t>
        </is>
      </c>
      <c r="E39" s="6" t="inlineStr">
        <is>
          <t>(98,25% × Brut + Prev_pat) × taux</t>
        </is>
      </c>
    </row>
    <row r="40">
      <c r="A40" s="6" t="inlineStr">
        <is>
          <t>CSG/CRDS non déductible</t>
        </is>
      </c>
      <c r="B40" s="6" t="inlineStr">
        <is>
          <t>CSG</t>
        </is>
      </c>
      <c r="C40" s="6" t="inlineStr">
        <is>
          <t>—</t>
        </is>
      </c>
      <c r="D40" s="6" t="inlineStr">
        <is>
          <t>2,90%</t>
        </is>
      </c>
      <c r="E40" s="6" t="inlineStr">
        <is>
          <t>(98,25% × Brut + Prev_pat) × taux</t>
        </is>
      </c>
    </row>
  </sheetData>
  <mergeCells count="5">
    <mergeCell ref="A29:E29"/>
    <mergeCell ref="A19:E19"/>
    <mergeCell ref="A1:E1"/>
    <mergeCell ref="A37:E3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20" customWidth="1" min="4" max="4"/>
  </cols>
  <sheetData>
    <row r="1" ht="30" customHeight="1">
      <c r="A1" s="1" t="inlineStr">
        <is>
          <t>BARÈMES ET CONSTANTES 2026</t>
        </is>
      </c>
      <c r="B1" s="2" t="n"/>
      <c r="C1" s="2" t="n"/>
      <c r="D1" s="2" t="n"/>
    </row>
    <row r="3" ht="25" customHeight="1">
      <c r="A3" s="3" t="inlineStr">
        <is>
          <t>CONSTANTES DE BASE</t>
        </is>
      </c>
      <c r="B3" s="4" t="n"/>
      <c r="C3" s="4" t="n"/>
      <c r="D3" s="4" t="n"/>
    </row>
    <row r="4" ht="22" customHeight="1">
      <c r="A4" s="5" t="inlineStr">
        <is>
          <t>Paramètre</t>
        </is>
      </c>
      <c r="B4" s="5" t="inlineStr">
        <is>
          <t>Valeur</t>
        </is>
      </c>
      <c r="C4" s="5" t="inlineStr">
        <is>
          <t>Unité</t>
        </is>
      </c>
      <c r="D4" s="5" t="inlineStr"/>
    </row>
    <row r="5">
      <c r="A5" s="6" t="inlineStr">
        <is>
          <t>PMSS (Plafond Mensuel SS)</t>
        </is>
      </c>
      <c r="B5" s="6" t="inlineStr">
        <is>
          <t>4 005</t>
        </is>
      </c>
      <c r="C5" s="6" t="inlineStr">
        <is>
          <t>€/mois</t>
        </is>
      </c>
      <c r="D5" s="6" t="inlineStr"/>
    </row>
    <row r="6">
      <c r="A6" s="6" t="inlineStr">
        <is>
          <t>SMIC mensuel brut</t>
        </is>
      </c>
      <c r="B6" s="6" t="inlineStr">
        <is>
          <t>1 823,03</t>
        </is>
      </c>
      <c r="C6" s="6" t="inlineStr">
        <is>
          <t>€/mois</t>
        </is>
      </c>
      <c r="D6" s="6" t="inlineStr"/>
    </row>
    <row r="7">
      <c r="A7" s="6" t="inlineStr">
        <is>
          <t>SMIC annuel brut</t>
        </is>
      </c>
      <c r="B7" s="6" t="inlineStr">
        <is>
          <t>21 876,36</t>
        </is>
      </c>
      <c r="C7" s="6" t="inlineStr">
        <is>
          <t>€/an</t>
        </is>
      </c>
      <c r="D7" s="6" t="inlineStr"/>
    </row>
    <row r="8">
      <c r="A8" s="6" t="inlineStr">
        <is>
          <t>Seuil RGDU</t>
        </is>
      </c>
      <c r="B8" s="6" t="inlineStr">
        <is>
          <t>54 903,36</t>
        </is>
      </c>
      <c r="C8" s="6" t="inlineStr">
        <is>
          <t>€/an (3×SMIC)</t>
        </is>
      </c>
      <c r="D8" s="6" t="inlineStr"/>
    </row>
    <row r="9">
      <c r="A9" s="6" t="inlineStr">
        <is>
          <t>Salaire de base portage</t>
        </is>
      </c>
      <c r="B9" s="6" t="inlineStr">
        <is>
          <t>2 374</t>
        </is>
      </c>
      <c r="C9" s="6" t="inlineStr">
        <is>
          <t>€/mois</t>
        </is>
      </c>
      <c r="D9" s="6" t="inlineStr"/>
    </row>
    <row r="10">
      <c r="A10" s="6" t="inlineStr">
        <is>
          <t>Taux prime d'apport</t>
        </is>
      </c>
      <c r="B10" s="6" t="inlineStr">
        <is>
          <t>5%</t>
        </is>
      </c>
      <c r="C10" s="6" t="inlineStr"/>
      <c r="D10" s="6" t="inlineStr"/>
    </row>
    <row r="11">
      <c r="A11" s="6" t="inlineStr">
        <is>
          <t>Taux congés payés (ICP)</t>
        </is>
      </c>
      <c r="B11" s="6" t="inlineStr">
        <is>
          <t>10%</t>
        </is>
      </c>
      <c r="C11" s="6" t="inlineStr"/>
      <c r="D11" s="6" t="inlineStr"/>
    </row>
    <row r="12">
      <c r="A12" s="6" t="inlineStr">
        <is>
          <t>Taux réserve financière</t>
        </is>
      </c>
      <c r="B12" s="6" t="inlineStr">
        <is>
          <t>10%</t>
        </is>
      </c>
      <c r="C12" s="6" t="inlineStr"/>
      <c r="D12" s="6" t="inlineStr"/>
    </row>
    <row r="13">
      <c r="A13" s="6" t="inlineStr">
        <is>
          <t>Taux frais de gestion</t>
        </is>
      </c>
      <c r="B13" s="6" t="inlineStr">
        <is>
          <t>5%</t>
        </is>
      </c>
      <c r="C13" s="6" t="inlineStr">
        <is>
          <t>du CA</t>
        </is>
      </c>
      <c r="D13" s="6" t="inlineStr"/>
    </row>
    <row r="14">
      <c r="A14" s="6" t="inlineStr">
        <is>
          <t>Forfait social</t>
        </is>
      </c>
      <c r="B14" s="6" t="inlineStr">
        <is>
          <t>8%</t>
        </is>
      </c>
      <c r="C14" s="6" t="inlineStr">
        <is>
          <t>de la prévoyance pat.</t>
        </is>
      </c>
      <c r="D14" s="6" t="inlineStr"/>
    </row>
    <row r="15">
      <c r="A15" s="6" t="inlineStr">
        <is>
          <t>Taux mutuelle</t>
        </is>
      </c>
      <c r="B15" s="6" t="inlineStr">
        <is>
          <t>1,5%</t>
        </is>
      </c>
      <c r="C15" s="6" t="inlineStr">
        <is>
          <t>du PMSS</t>
        </is>
      </c>
      <c r="D15" s="6" t="inlineStr"/>
    </row>
    <row r="16">
      <c r="A16" s="6" t="inlineStr">
        <is>
          <t>Part patronale mutuelle</t>
        </is>
      </c>
      <c r="B16" s="6" t="inlineStr">
        <is>
          <t>50%</t>
        </is>
      </c>
      <c r="C16" s="6" t="inlineStr"/>
      <c r="D16" s="6" t="inlineStr"/>
    </row>
    <row r="17">
      <c r="A17" s="6" t="inlineStr">
        <is>
          <t>Titre restaurant (valeur faciale)</t>
        </is>
      </c>
      <c r="B17" s="6" t="inlineStr">
        <is>
          <t>14,36</t>
        </is>
      </c>
      <c r="C17" s="6" t="inlineStr">
        <is>
          <t>€</t>
        </is>
      </c>
      <c r="D17" s="6" t="inlineStr"/>
    </row>
    <row r="18">
      <c r="A18" s="6" t="inlineStr">
        <is>
          <t>TR part employeur max</t>
        </is>
      </c>
      <c r="B18" s="6" t="inlineStr">
        <is>
          <t>7,18</t>
        </is>
      </c>
      <c r="C18" s="6" t="inlineStr">
        <is>
          <t>€</t>
        </is>
      </c>
      <c r="D18" s="6" t="inlineStr"/>
    </row>
    <row r="20" ht="25" customHeight="1">
      <c r="A20" s="3" t="inlineStr">
        <is>
          <t>BARÈME IK VOITURE 2026 (€/km)</t>
        </is>
      </c>
      <c r="B20" s="4" t="n"/>
      <c r="C20" s="4" t="n"/>
      <c r="D20" s="4" t="n"/>
    </row>
    <row r="21" ht="22" customHeight="1">
      <c r="A21" s="5" t="inlineStr">
        <is>
          <t>Puissance fiscale</t>
        </is>
      </c>
      <c r="B21" s="5" t="inlineStr">
        <is>
          <t>Jusqu'à 5 000 km</t>
        </is>
      </c>
      <c r="C21" s="5" t="inlineStr">
        <is>
          <t>5 001 à 20 000 km</t>
        </is>
      </c>
      <c r="D21" s="5" t="inlineStr">
        <is>
          <t>Plus de 20 000 km</t>
        </is>
      </c>
    </row>
    <row r="22">
      <c r="A22" s="6" t="inlineStr">
        <is>
          <t>3 CV et moins</t>
        </is>
      </c>
      <c r="B22" s="6" t="inlineStr">
        <is>
          <t>0,529</t>
        </is>
      </c>
      <c r="C22" s="6" t="inlineStr">
        <is>
          <t>0,316</t>
        </is>
      </c>
      <c r="D22" s="6" t="inlineStr">
        <is>
          <t>0,370</t>
        </is>
      </c>
    </row>
    <row r="23">
      <c r="A23" s="6" t="inlineStr">
        <is>
          <t>4 CV</t>
        </is>
      </c>
      <c r="B23" s="6" t="inlineStr">
        <is>
          <t>0,606</t>
        </is>
      </c>
      <c r="C23" s="6" t="inlineStr">
        <is>
          <t>0,340</t>
        </is>
      </c>
      <c r="D23" s="6" t="inlineStr">
        <is>
          <t>0,407</t>
        </is>
      </c>
    </row>
    <row r="24">
      <c r="A24" s="6" t="inlineStr">
        <is>
          <t>5 CV</t>
        </is>
      </c>
      <c r="B24" s="6" t="inlineStr">
        <is>
          <t>0,636</t>
        </is>
      </c>
      <c r="C24" s="6" t="inlineStr">
        <is>
          <t>0,357</t>
        </is>
      </c>
      <c r="D24" s="6" t="inlineStr">
        <is>
          <t>0,427</t>
        </is>
      </c>
    </row>
    <row r="25">
      <c r="A25" s="6" t="inlineStr">
        <is>
          <t>6 CV</t>
        </is>
      </c>
      <c r="B25" s="6" t="inlineStr">
        <is>
          <t>0,665</t>
        </is>
      </c>
      <c r="C25" s="6" t="inlineStr">
        <is>
          <t>0,374</t>
        </is>
      </c>
      <c r="D25" s="6" t="inlineStr">
        <is>
          <t>0,447</t>
        </is>
      </c>
    </row>
    <row r="26">
      <c r="A26" s="6" t="inlineStr">
        <is>
          <t>7 CV et plus</t>
        </is>
      </c>
      <c r="B26" s="6" t="inlineStr">
        <is>
          <t>0,697</t>
        </is>
      </c>
      <c r="C26" s="6" t="inlineStr">
        <is>
          <t>0,394</t>
        </is>
      </c>
      <c r="D26" s="6" t="inlineStr">
        <is>
          <t>0,470</t>
        </is>
      </c>
    </row>
    <row r="28" ht="25" customHeight="1">
      <c r="A28" s="3" t="inlineStr">
        <is>
          <t>BARÈME IGD (Indemnités Grand Déplacement)</t>
        </is>
      </c>
      <c r="B28" s="4" t="n"/>
      <c r="C28" s="4" t="n"/>
      <c r="D28" s="4" t="n"/>
    </row>
    <row r="29" ht="22" customHeight="1">
      <c r="A29" s="5" t="inlineStr">
        <is>
          <t>Type</t>
        </is>
      </c>
      <c r="B29" s="5" t="inlineStr">
        <is>
          <t>Montant</t>
        </is>
      </c>
      <c r="C29" s="5" t="inlineStr">
        <is>
          <t>Zone</t>
        </is>
      </c>
      <c r="D29" s="5" t="inlineStr"/>
    </row>
    <row r="30">
      <c r="A30" s="6" t="inlineStr">
        <is>
          <t>Repas</t>
        </is>
      </c>
      <c r="B30" s="6" t="inlineStr">
        <is>
          <t>21,60 €</t>
        </is>
      </c>
      <c r="C30" s="6" t="inlineStr">
        <is>
          <t>Toutes zones</t>
        </is>
      </c>
      <c r="D30" s="6" t="inlineStr"/>
    </row>
    <row r="31">
      <c r="A31" s="6" t="inlineStr">
        <is>
          <t>Nuitée + petit-déjeuner</t>
        </is>
      </c>
      <c r="B31" s="6" t="inlineStr">
        <is>
          <t>57,80 €</t>
        </is>
      </c>
      <c r="C31" s="6" t="inlineStr">
        <is>
          <t>Province</t>
        </is>
      </c>
      <c r="D31" s="6" t="inlineStr"/>
    </row>
    <row r="32">
      <c r="A32" s="6" t="inlineStr">
        <is>
          <t>Nuitée + petit-déjeuner</t>
        </is>
      </c>
      <c r="B32" s="6" t="inlineStr">
        <is>
          <t>76,70 €</t>
        </is>
      </c>
      <c r="C32" s="6" t="inlineStr">
        <is>
          <t>Paris / IDF</t>
        </is>
      </c>
      <c r="D32" s="6" t="inlineStr"/>
    </row>
    <row r="34" ht="25" customHeight="1">
      <c r="A34" s="3" t="inlineStr">
        <is>
          <t>FORFAIT TÉLÉTRAVAIL</t>
        </is>
      </c>
      <c r="B34" s="4" t="n"/>
      <c r="C34" s="4" t="n"/>
      <c r="D34" s="4" t="n"/>
    </row>
    <row r="35" ht="22" customHeight="1">
      <c r="A35" s="5" t="inlineStr">
        <is>
          <t>Paramètre</t>
        </is>
      </c>
      <c r="B35" s="5" t="inlineStr">
        <is>
          <t>Valeur</t>
        </is>
      </c>
      <c r="C35" s="5" t="inlineStr"/>
      <c r="D35" s="5" t="inlineStr"/>
    </row>
    <row r="36">
      <c r="A36" s="6" t="inlineStr">
        <is>
          <t>Indemnité journalière</t>
        </is>
      </c>
      <c r="B36" s="6" t="inlineStr">
        <is>
          <t>2,70 €/jour</t>
        </is>
      </c>
      <c r="C36" s="6" t="inlineStr"/>
      <c r="D36" s="6" t="inlineStr"/>
    </row>
    <row r="37">
      <c r="A37" s="6" t="inlineStr">
        <is>
          <t>Maximum jours/mois</t>
        </is>
      </c>
      <c r="B37" s="6" t="inlineStr">
        <is>
          <t>22 jours</t>
        </is>
      </c>
      <c r="C37" s="6" t="inlineStr"/>
      <c r="D37" s="6" t="inlineStr"/>
    </row>
    <row r="38">
      <c r="A38" s="6" t="inlineStr">
        <is>
          <t>Maximum mensuel</t>
        </is>
      </c>
      <c r="B38" s="6" t="inlineStr">
        <is>
          <t>59,40 €</t>
        </is>
      </c>
      <c r="C38" s="6" t="inlineStr"/>
      <c r="D38" s="6" t="inlineStr"/>
    </row>
    <row r="40" ht="25" customHeight="1">
      <c r="A40" s="3" t="inlineStr">
        <is>
          <t>RGDU - PARAMÈTRES</t>
        </is>
      </c>
      <c r="B40" s="4" t="n"/>
      <c r="C40" s="4" t="n"/>
      <c r="D40" s="4" t="n"/>
    </row>
    <row r="41" ht="22" customHeight="1">
      <c r="A41" s="5" t="inlineStr">
        <is>
          <t>Paramètre</t>
        </is>
      </c>
      <c r="B41" s="5" t="inlineStr">
        <is>
          <t>Valeur &lt;50 sal.</t>
        </is>
      </c>
      <c r="C41" s="5" t="inlineStr">
        <is>
          <t>Valeur ≥50 sal.</t>
        </is>
      </c>
      <c r="D41" s="5" t="inlineStr"/>
    </row>
    <row r="42">
      <c r="A42" s="6" t="inlineStr">
        <is>
          <t>Tmin</t>
        </is>
      </c>
      <c r="B42" s="6" t="inlineStr">
        <is>
          <t>0,02</t>
        </is>
      </c>
      <c r="C42" s="6" t="inlineStr">
        <is>
          <t>0,02</t>
        </is>
      </c>
      <c r="D42" s="6" t="inlineStr"/>
    </row>
    <row r="43">
      <c r="A43" s="6" t="inlineStr">
        <is>
          <t>Tdelta</t>
        </is>
      </c>
      <c r="B43" s="6" t="inlineStr">
        <is>
          <t>0,3781</t>
        </is>
      </c>
      <c r="C43" s="6" t="inlineStr">
        <is>
          <t>0,3821</t>
        </is>
      </c>
      <c r="D43" s="6" t="inlineStr"/>
    </row>
    <row r="44">
      <c r="A44" s="6" t="inlineStr">
        <is>
          <t>Exposant</t>
        </is>
      </c>
      <c r="B44" s="6" t="inlineStr">
        <is>
          <t>1,75</t>
        </is>
      </c>
      <c r="C44" s="6" t="inlineStr">
        <is>
          <t>1,75</t>
        </is>
      </c>
      <c r="D44" s="6" t="inlineStr"/>
    </row>
    <row r="45">
      <c r="A45" s="6" t="inlineStr">
        <is>
          <t>Coefficient max</t>
        </is>
      </c>
      <c r="B45" s="6" t="inlineStr">
        <is>
          <t>0,3981</t>
        </is>
      </c>
      <c r="C45" s="6" t="inlineStr">
        <is>
          <t>0,4021</t>
        </is>
      </c>
      <c r="D45" s="6" t="inlineStr"/>
    </row>
  </sheetData>
  <mergeCells count="6">
    <mergeCell ref="A1:D1"/>
    <mergeCell ref="A40:D40"/>
    <mergeCell ref="A34:D34"/>
    <mergeCell ref="A20:D20"/>
    <mergeCell ref="A3:D3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2026-03-16T09:50:59Z</dcterms:created>
  <dcterms:modified xmlns:dcterms="http://purl.org/dc/terms/" xmlns:xsi="http://www.w3.org/2001/XMLSchema-instance" xsi:type="dcterms:W3CDTF">2026-03-16T09:51:00Z</dcterms:modified>
</cp:coreProperties>
</file>