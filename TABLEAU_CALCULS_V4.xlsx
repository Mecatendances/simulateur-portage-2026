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ynthèse Calculs V4" sheetId="1" state="visible" r:id="rId1"/>
    <sheet xmlns:r="http://schemas.openxmlformats.org/officeDocument/2006/relationships" name="24 Cotisations" sheetId="2" state="visible" r:id="rId2"/>
    <sheet xmlns:r="http://schemas.openxmlformats.org/officeDocument/2006/relationships" name="Barèmes 2026" sheetId="3" state="visible" r:id="rId3"/>
    <sheet xmlns:r="http://schemas.openxmlformats.org/officeDocument/2006/relationships" name="CDI vs CDD" sheetId="4" state="visible" r:id="rId4"/>
    <sheet xmlns:r="http://schemas.openxmlformats.org/officeDocument/2006/relationships" name="Nouveautés V4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2"/>
    </font>
    <font>
      <name val="Calibri"/>
      <b val="1"/>
      <color rgb="00FFFFFF"/>
      <sz val="10"/>
    </font>
    <font>
      <name val="Calibri"/>
      <sz val="10"/>
    </font>
    <font>
      <name val="Calibri"/>
      <b val="1"/>
      <color rgb="00E91E63"/>
      <sz val="10"/>
    </font>
    <font>
      <name val="Calibri"/>
      <b val="1"/>
      <color rgb="00F57F17"/>
      <sz val="10"/>
    </font>
    <font>
      <name val="Calibri"/>
      <b val="1"/>
      <color rgb="00E91E63"/>
      <sz val="11"/>
    </font>
  </fonts>
  <fills count="8">
    <fill>
      <patternFill/>
    </fill>
    <fill>
      <patternFill patternType="gray125"/>
    </fill>
    <fill>
      <patternFill patternType="solid">
        <fgColor rgb="002C3E50"/>
        <bgColor rgb="002C3E50"/>
      </patternFill>
    </fill>
    <fill>
      <patternFill patternType="solid">
        <fgColor rgb="00E91E63"/>
        <bgColor rgb="00E91E63"/>
      </patternFill>
    </fill>
    <fill>
      <patternFill patternType="solid">
        <fgColor rgb="00F06292"/>
        <bgColor rgb="00F06292"/>
      </patternFill>
    </fill>
    <fill>
      <patternFill patternType="solid">
        <fgColor rgb="00FFF3F7"/>
        <bgColor rgb="00FFF3F7"/>
      </patternFill>
    </fill>
    <fill>
      <patternFill patternType="solid">
        <fgColor rgb="00FFF9C4"/>
        <bgColor rgb="00FFF9C4"/>
      </patternFill>
    </fill>
    <fill>
      <patternFill patternType="solid">
        <fgColor rgb="00FCE4EC"/>
        <bgColor rgb="00FCE4EC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2" borderId="1" pivotButton="0" quotePrefix="0" xfId="0"/>
    <xf numFmtId="0" fontId="2" fillId="3" borderId="1" pivotButton="0" quotePrefix="0" xfId="0"/>
    <xf numFmtId="0" fontId="0" fillId="3" borderId="1" pivotButton="0" quotePrefix="0" xfId="0"/>
    <xf numFmtId="0" fontId="3" fillId="4" borderId="1" applyAlignment="1" pivotButton="0" quotePrefix="0" xfId="0">
      <alignment horizontal="center" wrapText="1"/>
    </xf>
    <xf numFmtId="0" fontId="4" fillId="0" borderId="1" applyAlignment="1" pivotButton="0" quotePrefix="0" xfId="0">
      <alignment wrapText="1"/>
    </xf>
    <xf numFmtId="0" fontId="5" fillId="5" borderId="1" applyAlignment="1" pivotButton="0" quotePrefix="0" xfId="0">
      <alignment wrapText="1"/>
    </xf>
    <xf numFmtId="0" fontId="6" fillId="6" borderId="1" applyAlignment="1" pivotButton="0" quotePrefix="0" xfId="0">
      <alignment wrapText="1"/>
    </xf>
    <xf numFmtId="0" fontId="7" fillId="7" borderId="1" pivotButton="0" quotePrefix="0" xfId="0"/>
    <xf numFmtId="0" fontId="0" fillId="7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55" customWidth="1" min="2" max="2"/>
    <col width="28" customWidth="1" min="3" max="3"/>
    <col width="22" customWidth="1" min="4" max="4"/>
  </cols>
  <sheetData>
    <row r="1" ht="28" customHeight="1">
      <c r="A1" s="1" t="inlineStr">
        <is>
          <t>SIMULATEUR PORTAGE SALARIAL — TOUS LES CALCULS (V4)</t>
        </is>
      </c>
      <c r="B1" s="2" t="n"/>
      <c r="C1" s="2" t="n"/>
      <c r="D1" s="2" t="n"/>
    </row>
    <row r="3" ht="24" customHeight="1">
      <c r="A3" s="3" t="inlineStr">
        <is>
          <t>1. DU CA AU MONTANT DISPONIBLE</t>
        </is>
      </c>
      <c r="B3" s="4" t="n"/>
      <c r="C3" s="4" t="n"/>
      <c r="D3" s="4" t="n"/>
    </row>
    <row r="4">
      <c r="A4" s="5" t="inlineStr">
        <is>
          <t>Étape</t>
        </is>
      </c>
      <c r="B4" s="5" t="inlineStr">
        <is>
          <t>Formule</t>
        </is>
      </c>
      <c r="C4" s="5" t="inlineStr">
        <is>
          <t>Détail</t>
        </is>
      </c>
      <c r="D4" s="5" t="inlineStr">
        <is>
          <t>Résultat</t>
        </is>
      </c>
    </row>
    <row r="5">
      <c r="A5" s="6" t="inlineStr">
        <is>
          <t>Chiffre d'Affaires (CA)</t>
        </is>
      </c>
      <c r="B5" s="6" t="inlineStr">
        <is>
          <t>TJM × Jours / mois</t>
        </is>
      </c>
      <c r="C5" s="6" t="inlineStr">
        <is>
          <t>500 × 19</t>
        </is>
      </c>
      <c r="D5" s="6" t="inlineStr">
        <is>
          <t>9 500 €</t>
        </is>
      </c>
    </row>
    <row r="6">
      <c r="A6" s="6" t="inlineStr">
        <is>
          <t>Frais de gestion</t>
        </is>
      </c>
      <c r="B6" s="6" t="inlineStr">
        <is>
          <t>CA × Taux gestion (%)</t>
        </is>
      </c>
      <c r="C6" s="6" t="inlineStr">
        <is>
          <t>9 500 × 5%</t>
        </is>
      </c>
      <c r="D6" s="6" t="inlineStr">
        <is>
          <t>475 €</t>
        </is>
      </c>
    </row>
    <row r="7">
      <c r="A7" s="6" t="inlineStr">
        <is>
          <t>Frais d'intermédiation</t>
        </is>
      </c>
      <c r="B7" s="6" t="inlineStr">
        <is>
          <t>CA × Taux intermédiation (%)</t>
        </is>
      </c>
      <c r="C7" s="6" t="inlineStr">
        <is>
          <t>variable</t>
        </is>
      </c>
      <c r="D7" s="6" t="inlineStr">
        <is>
          <t>variable</t>
        </is>
      </c>
    </row>
    <row r="8">
      <c r="A8" s="6" t="inlineStr">
        <is>
          <t>Frais partagés</t>
        </is>
      </c>
      <c r="B8" s="6" t="inlineStr">
        <is>
          <t>CA × Taux partagés (%)</t>
        </is>
      </c>
      <c r="C8" s="6" t="inlineStr">
        <is>
          <t>Nouveau V4</t>
        </is>
      </c>
      <c r="D8" s="6" t="inlineStr">
        <is>
          <t>variable</t>
        </is>
      </c>
    </row>
    <row r="9">
      <c r="A9" s="6" t="inlineStr">
        <is>
          <t>Commission apporteur</t>
        </is>
      </c>
      <c r="B9" s="6" t="inlineStr">
        <is>
          <t>CA × % ou montant fixe (€)</t>
        </is>
      </c>
      <c r="C9" s="6" t="inlineStr">
        <is>
          <t>Nouveau V4</t>
        </is>
      </c>
      <c r="D9" s="6" t="inlineStr">
        <is>
          <t>variable</t>
        </is>
      </c>
    </row>
    <row r="10">
      <c r="A10" s="7">
        <f> MONTANT DISPONIBLE</f>
        <v/>
      </c>
      <c r="B10" s="7" t="inlineStr">
        <is>
          <t>CA - Gestion - Intermédiation - Partagés - Commission</t>
        </is>
      </c>
      <c r="C10" s="7" t="inlineStr"/>
      <c r="D10" s="7" t="inlineStr"/>
    </row>
    <row r="12" ht="24" customHeight="1">
      <c r="A12" s="3" t="inlineStr">
        <is>
          <t>2. CONSTRUCTION DU SALAIRE BRUT</t>
        </is>
      </c>
      <c r="B12" s="4" t="n"/>
      <c r="C12" s="4" t="n"/>
      <c r="D12" s="4" t="n"/>
    </row>
    <row r="13">
      <c r="A13" s="5" t="inlineStr">
        <is>
          <t>Composante</t>
        </is>
      </c>
      <c r="B13" s="5" t="inlineStr">
        <is>
          <t>Formule CDI</t>
        </is>
      </c>
      <c r="C13" s="5" t="inlineStr">
        <is>
          <t>Formule CDD</t>
        </is>
      </c>
      <c r="D13" s="5" t="inlineStr">
        <is>
          <t>Différence</t>
        </is>
      </c>
    </row>
    <row r="14">
      <c r="A14" s="6" t="inlineStr">
        <is>
          <t>Salaire de base</t>
        </is>
      </c>
      <c r="B14" s="6" t="inlineStr">
        <is>
          <t>2 374 × (Jours_sem / 5)</t>
        </is>
      </c>
      <c r="C14" s="6" t="inlineStr">
        <is>
          <t>Identique</t>
        </is>
      </c>
      <c r="D14" s="6" t="inlineStr"/>
    </row>
    <row r="15">
      <c r="A15" s="6" t="inlineStr">
        <is>
          <t>Prime d'apport</t>
        </is>
      </c>
      <c r="B15" s="6" t="inlineStr">
        <is>
          <t>Base × 5%</t>
        </is>
      </c>
      <c r="C15" s="6" t="inlineStr">
        <is>
          <t>Identique</t>
        </is>
      </c>
      <c r="D15" s="6" t="inlineStr"/>
    </row>
    <row r="16">
      <c r="A16" s="8" t="inlineStr">
        <is>
          <t>Réserve / Précarité</t>
        </is>
      </c>
      <c r="B16" s="8" t="inlineStr">
        <is>
          <t>Base × 10% = 237,40€</t>
        </is>
      </c>
      <c r="C16" s="8" t="inlineStr">
        <is>
          <t>(Base + Prime) × 10% = 249,27€</t>
        </is>
      </c>
      <c r="D16" s="8" t="inlineStr">
        <is>
          <t>CDI ≠ CDD</t>
        </is>
      </c>
    </row>
    <row r="17">
      <c r="A17" s="6" t="inlineStr">
        <is>
          <t>Complément rémunération</t>
        </is>
      </c>
      <c r="B17" s="6" t="inlineStr">
        <is>
          <t>Convergence itérative</t>
        </is>
      </c>
      <c r="C17" s="6" t="inlineStr">
        <is>
          <t>Convergence itérative</t>
        </is>
      </c>
      <c r="D17" s="6" t="inlineStr">
        <is>
          <t>Pool - Base - Prime - Réserve/Précarité</t>
        </is>
      </c>
    </row>
    <row r="18">
      <c r="A18" s="6" t="inlineStr">
        <is>
          <t>Complément apport affaires</t>
        </is>
      </c>
      <c r="B18" s="6" t="inlineStr">
        <is>
          <t>Complément × 5%</t>
        </is>
      </c>
      <c r="C18" s="6" t="inlineStr">
        <is>
          <t>Identique</t>
        </is>
      </c>
      <c r="D18" s="6" t="inlineStr"/>
    </row>
    <row r="19">
      <c r="A19" s="6" t="inlineStr">
        <is>
          <t>ICP (CDI réintégrée)</t>
        </is>
      </c>
      <c r="B19" s="6" t="inlineStr">
        <is>
          <t>(Base+Prime+Réserve+Compl) × 10%</t>
        </is>
      </c>
      <c r="C19" s="6" t="inlineStr"/>
      <c r="D19" s="6" t="inlineStr">
        <is>
          <t>Tout dans la base ICP</t>
        </is>
      </c>
    </row>
    <row r="20">
      <c r="A20" s="8" t="inlineStr">
        <is>
          <t>ICP (CDD réintégrée)</t>
        </is>
      </c>
      <c r="B20" s="8" t="inlineStr"/>
      <c r="C20" s="8" t="inlineStr">
        <is>
          <t>(Base+Prime+Précarité) × 10%</t>
        </is>
      </c>
      <c r="D20" s="8" t="inlineStr">
        <is>
          <t>Complément HORS base ICP</t>
        </is>
      </c>
    </row>
    <row r="21">
      <c r="A21" s="6" t="inlineStr">
        <is>
          <t>ICP (provisionnée)</t>
        </is>
      </c>
      <c r="B21" s="6" t="inlineStr">
        <is>
          <t>(Base+Prime+Compl) × 10%</t>
        </is>
      </c>
      <c r="C21" s="6" t="inlineStr">
        <is>
          <t>(Base+Prime+Compl) × 10%</t>
        </is>
      </c>
      <c r="D21" s="6" t="inlineStr">
        <is>
          <t>Réserve/Précarité hors base</t>
        </is>
      </c>
    </row>
    <row r="22">
      <c r="A22" s="7">
        <f> BRUT TOTAL</f>
        <v/>
      </c>
      <c r="B22" s="7" t="inlineStr">
        <is>
          <t>Somme de toutes les composantes</t>
        </is>
      </c>
      <c r="C22" s="7" t="inlineStr"/>
      <c r="D22" s="7" t="inlineStr"/>
    </row>
    <row r="24" ht="24" customHeight="1">
      <c r="A24" s="3" t="inlineStr">
        <is>
          <t>3. CONVERGENCE ITÉRATIVE (50 itérations max)</t>
        </is>
      </c>
      <c r="B24" s="4" t="n"/>
      <c r="C24" s="4" t="n"/>
      <c r="D24" s="4" t="n"/>
    </row>
    <row r="25">
      <c r="A25" s="5" t="inlineStr">
        <is>
          <t>Étape</t>
        </is>
      </c>
      <c r="B25" s="5" t="inlineStr">
        <is>
          <t>Formule</t>
        </is>
      </c>
      <c r="C25" s="5" t="inlineStr">
        <is>
          <t>CDI vs CDD</t>
        </is>
      </c>
      <c r="D25" s="5" t="inlineStr"/>
    </row>
    <row r="26">
      <c r="A26" s="6" t="inlineStr">
        <is>
          <t>Taux initial</t>
        </is>
      </c>
      <c r="B26" s="6" t="inlineStr">
        <is>
          <t>taux_charges = 0,55</t>
        </is>
      </c>
      <c r="C26" s="6" t="inlineStr"/>
      <c r="D26" s="6" t="inlineStr"/>
    </row>
    <row r="27">
      <c r="A27" s="6" t="inlineStr">
        <is>
          <t>Pool</t>
        </is>
      </c>
      <c r="B27" s="6" t="inlineStr">
        <is>
          <t>budget_salaire / (1 + taux_charges)</t>
        </is>
      </c>
      <c r="C27" s="6" t="inlineStr"/>
      <c r="D27" s="6" t="inlineStr"/>
    </row>
    <row r="28">
      <c r="A28" s="6" t="inlineStr">
        <is>
          <t>Complément estimé</t>
        </is>
      </c>
      <c r="B28" s="6" t="inlineStr">
        <is>
          <t>Pool - Base - Prime - Réserve/Précarité</t>
        </is>
      </c>
      <c r="C28" s="6" t="inlineStr"/>
      <c r="D28" s="6" t="inlineStr"/>
    </row>
    <row r="29">
      <c r="A29" s="6" t="inlineStr">
        <is>
          <t>Brut estimé (CDI réintégrée)</t>
        </is>
      </c>
      <c r="B29" s="6" t="inlineStr">
        <is>
          <t>(Base+Prime+Réserve+Compl) × (1+CP)</t>
        </is>
      </c>
      <c r="C29" s="6" t="inlineStr"/>
      <c r="D29" s="6" t="inlineStr"/>
    </row>
    <row r="30">
      <c r="A30" s="6" t="inlineStr">
        <is>
          <t>Brut estimé (CDD réintégrée)</t>
        </is>
      </c>
      <c r="B30" s="6" t="inlineStr">
        <is>
          <t>(Base+Prime+Précarité+Compl) + ICP_CDD</t>
        </is>
      </c>
      <c r="C30" s="6" t="inlineStr">
        <is>
          <t>ICP = (Base+Prime+Précarité) × 10%</t>
        </is>
      </c>
      <c r="D30" s="6" t="inlineStr"/>
    </row>
    <row r="31">
      <c r="A31" s="6" t="inlineStr">
        <is>
          <t>Brut estimé (provisionnée)</t>
        </is>
      </c>
      <c r="B31" s="6" t="inlineStr">
        <is>
          <t>(Base+Prime+Compl) × (1+CP)</t>
        </is>
      </c>
      <c r="C31" s="6" t="inlineStr">
        <is>
          <t>Charges marginales sur réserve</t>
        </is>
      </c>
      <c r="D31" s="6" t="inlineStr"/>
    </row>
    <row r="32">
      <c r="A32" s="6" t="inlineStr">
        <is>
          <t>Cotisations</t>
        </is>
      </c>
      <c r="B32" s="6" t="inlineStr">
        <is>
          <t>24 lignes sur brut estimé</t>
        </is>
      </c>
      <c r="C32" s="6" t="inlineStr"/>
      <c r="D32" s="6" t="inlineStr"/>
    </row>
    <row r="33">
      <c r="A33" s="6" t="inlineStr">
        <is>
          <t>Forfait social</t>
        </is>
      </c>
      <c r="B33" s="6" t="inlineStr">
        <is>
          <t>Prévoyance_Pat × 8%</t>
        </is>
      </c>
      <c r="C33" s="6" t="inlineStr"/>
      <c r="D33" s="6" t="inlineStr"/>
    </row>
    <row r="34">
      <c r="A34" s="6" t="inlineStr">
        <is>
          <t>Nouveau taux</t>
        </is>
      </c>
      <c r="B34" s="6" t="inlineStr">
        <is>
          <t>charges_totales / pool</t>
        </is>
      </c>
      <c r="C34" s="6" t="inlineStr"/>
      <c r="D34" s="6" t="inlineStr"/>
    </row>
    <row r="35">
      <c r="A35" s="6" t="inlineStr">
        <is>
          <t>Test convergence</t>
        </is>
      </c>
      <c r="B35" s="6" t="inlineStr">
        <is>
          <t>|nouveau - ancien| &lt; 0,00001</t>
        </is>
      </c>
      <c r="C35" s="6" t="inlineStr"/>
      <c r="D35" s="6" t="inlineStr"/>
    </row>
    <row r="37" ht="24" customHeight="1">
      <c r="A37" s="3" t="inlineStr">
        <is>
          <t>4. CHARGES &amp; DÉDUCTIONS</t>
        </is>
      </c>
      <c r="B37" s="4" t="n"/>
      <c r="C37" s="4" t="n"/>
      <c r="D37" s="4" t="n"/>
    </row>
    <row r="38">
      <c r="A38" s="5" t="inlineStr">
        <is>
          <t>Calcul</t>
        </is>
      </c>
      <c r="B38" s="5" t="inlineStr">
        <is>
          <t>Formule</t>
        </is>
      </c>
      <c r="C38" s="5" t="inlineStr"/>
      <c r="D38" s="5" t="inlineStr"/>
    </row>
    <row r="39">
      <c r="A39" s="6" t="inlineStr">
        <is>
          <t>Charges patronales avant RGDU</t>
        </is>
      </c>
      <c r="B39" s="6" t="inlineStr">
        <is>
          <t>Cotis_pat + Mutuelle_pat + TR_pat + Forfait_social</t>
        </is>
      </c>
      <c r="C39" s="6" t="inlineStr"/>
      <c r="D39" s="6" t="inlineStr"/>
    </row>
    <row r="40">
      <c r="A40" s="6" t="inlineStr">
        <is>
          <t>RGDU 2026</t>
        </is>
      </c>
      <c r="B40" s="6" t="inlineStr">
        <is>
          <t>Si Brut_annuel &lt; 3×SMIC : Brut × coefficient</t>
        </is>
      </c>
      <c r="C40" s="6" t="inlineStr">
        <is>
          <t>Toujours appliquée</t>
        </is>
      </c>
      <c r="D40" s="6" t="inlineStr"/>
    </row>
    <row r="41">
      <c r="A41" s="6" t="inlineStr">
        <is>
          <t>Charges patronales après RGDU</t>
        </is>
      </c>
      <c r="B41" s="6" t="inlineStr">
        <is>
          <t>Charges_avant - RGDU</t>
        </is>
      </c>
      <c r="C41" s="6" t="inlineStr"/>
      <c r="D41" s="6" t="inlineStr"/>
    </row>
    <row r="42">
      <c r="A42" s="6" t="inlineStr">
        <is>
          <t>Charges salariales</t>
        </is>
      </c>
      <c r="B42" s="6" t="inlineStr">
        <is>
          <t>Cotis_sal + Mutuelle_sal + TR_sal</t>
        </is>
      </c>
      <c r="C42" s="6" t="inlineStr"/>
      <c r="D42" s="6" t="inlineStr"/>
    </row>
    <row r="43">
      <c r="A43" s="6" t="inlineStr">
        <is>
          <t>Forfait social</t>
        </is>
      </c>
      <c r="B43" s="6" t="inlineStr">
        <is>
          <t>Prévoyance patronale totale × 8%</t>
        </is>
      </c>
      <c r="C43" s="6" t="inlineStr"/>
      <c r="D43" s="6" t="inlineStr"/>
    </row>
    <row r="45" ht="24" customHeight="1">
      <c r="A45" s="3" t="inlineStr">
        <is>
          <t>5. MUTUELLE &amp; TITRES RESTAURANT</t>
        </is>
      </c>
      <c r="B45" s="4" t="n"/>
      <c r="C45" s="4" t="n"/>
      <c r="D45" s="4" t="n"/>
    </row>
    <row r="46">
      <c r="A46" s="5" t="inlineStr">
        <is>
          <t>Élément</t>
        </is>
      </c>
      <c r="B46" s="5" t="inlineStr">
        <is>
          <t>Formule</t>
        </is>
      </c>
      <c r="C46" s="5" t="inlineStr">
        <is>
          <t>Valeur 2026</t>
        </is>
      </c>
      <c r="D46" s="5" t="inlineStr"/>
    </row>
    <row r="47">
      <c r="A47" s="6" t="inlineStr">
        <is>
          <t>Mutuelle totale</t>
        </is>
      </c>
      <c r="B47" s="6" t="inlineStr">
        <is>
          <t>PMSS × Taux (1,5%)</t>
        </is>
      </c>
      <c r="C47" s="6" t="inlineStr">
        <is>
          <t>4 005 × 1,5% = 60,08 €</t>
        </is>
      </c>
      <c r="D47" s="6" t="inlineStr"/>
    </row>
    <row r="48">
      <c r="A48" s="6" t="inlineStr">
        <is>
          <t>Mutuelle part patron</t>
        </is>
      </c>
      <c r="B48" s="6" t="inlineStr">
        <is>
          <t>Total × 50%</t>
        </is>
      </c>
      <c r="C48" s="6" t="inlineStr">
        <is>
          <t>30,04 €</t>
        </is>
      </c>
      <c r="D48" s="6" t="inlineStr"/>
    </row>
    <row r="49">
      <c r="A49" s="6" t="inlineStr">
        <is>
          <t>Mutuelle part salarié</t>
        </is>
      </c>
      <c r="B49" s="6" t="inlineStr">
        <is>
          <t>Total × 50%</t>
        </is>
      </c>
      <c r="C49" s="6" t="inlineStr">
        <is>
          <t>30,04 €</t>
        </is>
      </c>
      <c r="D49" s="6" t="inlineStr"/>
    </row>
    <row r="50">
      <c r="A50" s="6" t="inlineStr">
        <is>
          <t>TR part patron</t>
        </is>
      </c>
      <c r="B50" s="6" t="inlineStr">
        <is>
          <t>Nb titres × 7,18 €</t>
        </is>
      </c>
      <c r="C50" s="6" t="inlineStr"/>
      <c r="D50" s="6" t="inlineStr"/>
    </row>
    <row r="51">
      <c r="A51" s="6" t="inlineStr">
        <is>
          <t>TR part salarié</t>
        </is>
      </c>
      <c r="B51" s="6" t="inlineStr">
        <is>
          <t>Nb titres × 7,18 €</t>
        </is>
      </c>
      <c r="C51" s="6" t="inlineStr"/>
      <c r="D51" s="6" t="inlineStr"/>
    </row>
    <row r="52">
      <c r="A52" s="6" t="inlineStr">
        <is>
          <t>TR automatique (V4)</t>
        </is>
      </c>
      <c r="B52" s="6" t="inlineStr">
        <is>
          <t>Jours - IGD_repas - Invitations - Demi-journées</t>
        </is>
      </c>
      <c r="C52" s="6" t="inlineStr">
        <is>
          <t>Nouveau V4</t>
        </is>
      </c>
      <c r="D52" s="6" t="inlineStr"/>
    </row>
    <row r="54" ht="24" customHeight="1">
      <c r="A54" s="3" t="inlineStr">
        <is>
          <t>6. PROVISION RÉSERVE / INDEMNITÉ PRÉCARITÉ</t>
        </is>
      </c>
      <c r="B54" s="4" t="n"/>
      <c r="C54" s="4" t="n"/>
      <c r="D54" s="4" t="n"/>
    </row>
    <row r="55">
      <c r="A55" s="5" t="inlineStr">
        <is>
          <t>Cas</t>
        </is>
      </c>
      <c r="B55" s="5" t="inlineStr">
        <is>
          <t>Formule</t>
        </is>
      </c>
      <c r="C55" s="5" t="inlineStr">
        <is>
          <t>CDI</t>
        </is>
      </c>
      <c r="D55" s="5" t="inlineStr">
        <is>
          <t>CDD</t>
        </is>
      </c>
    </row>
    <row r="56">
      <c r="A56" s="6" t="inlineStr">
        <is>
          <t>Réintégrée (dans brut)</t>
        </is>
      </c>
      <c r="B56" s="6" t="inlineStr">
        <is>
          <t>Pas de provision, réserve/précarité dans le brut</t>
        </is>
      </c>
      <c r="C56" s="6" t="inlineStr">
        <is>
          <t>Réserve = Base×10%</t>
        </is>
      </c>
      <c r="D56" s="6" t="inlineStr">
        <is>
          <t>Précarité = (Base+Prime)×10%</t>
        </is>
      </c>
    </row>
    <row r="57">
      <c r="A57" s="6" t="inlineStr">
        <is>
          <t>Provisionnée (hors brut)</t>
        </is>
      </c>
      <c r="B57" s="6" t="inlineStr">
        <is>
          <t>Montant Dispo - (Brut + Charges Pat)</t>
        </is>
      </c>
      <c r="C57" s="6" t="inlineStr">
        <is>
          <t>Provision Réserve</t>
        </is>
      </c>
      <c r="D57" s="6" t="inlineStr">
        <is>
          <t>Provision Précarité</t>
        </is>
      </c>
    </row>
    <row r="58">
      <c r="A58" s="8" t="inlineStr">
        <is>
          <t>Dont réserve/précarité brute</t>
        </is>
      </c>
      <c r="B58" s="8" t="inlineStr">
        <is>
          <t>Montant de la réserve/précarité</t>
        </is>
      </c>
      <c r="C58" s="8" t="inlineStr">
        <is>
          <t>237,40 €</t>
        </is>
      </c>
      <c r="D58" s="8" t="inlineStr">
        <is>
          <t>249,27 €</t>
        </is>
      </c>
    </row>
    <row r="59">
      <c r="A59" s="6" t="inlineStr">
        <is>
          <t>Dont charges futures</t>
        </is>
      </c>
      <c r="B59" s="6" t="inlineStr">
        <is>
          <t>Cotisations marginales sur réserve/précarité</t>
        </is>
      </c>
      <c r="C59" s="6" t="inlineStr"/>
      <c r="D59" s="6" t="inlineStr"/>
    </row>
    <row r="61" ht="24" customHeight="1">
      <c r="A61" s="3" t="inlineStr">
        <is>
          <t>7. PROVISIONS CONGÉS PAYÉS (option V4)</t>
        </is>
      </c>
      <c r="B61" s="4" t="n"/>
      <c r="C61" s="4" t="n"/>
      <c r="D61" s="4" t="n"/>
    </row>
    <row r="62">
      <c r="A62" s="5" t="inlineStr">
        <is>
          <t>Calcul</t>
        </is>
      </c>
      <c r="B62" s="5" t="inlineStr">
        <is>
          <t>Formule</t>
        </is>
      </c>
      <c r="C62" s="5" t="inlineStr"/>
      <c r="D62" s="5" t="inlineStr"/>
    </row>
    <row r="63">
      <c r="A63" s="6" t="inlineStr">
        <is>
          <t>Si option cochée</t>
        </is>
      </c>
      <c r="B63" s="6" t="inlineStr">
        <is>
          <t>ICP retirées du brut et provisionnées</t>
        </is>
      </c>
      <c r="C63" s="6" t="inlineStr"/>
      <c r="D63" s="6" t="inlineStr"/>
    </row>
    <row r="64">
      <c r="A64" s="6" t="inlineStr">
        <is>
          <t>Brut hors CP</t>
        </is>
      </c>
      <c r="B64" s="6" t="inlineStr">
        <is>
          <t>Brut - ICP</t>
        </is>
      </c>
      <c r="C64" s="6" t="inlineStr"/>
      <c r="D64" s="6" t="inlineStr"/>
    </row>
    <row r="65">
      <c r="A65" s="6" t="inlineStr">
        <is>
          <t>Provision CP</t>
        </is>
      </c>
      <c r="B65" s="6" t="inlineStr">
        <is>
          <t>Coût global avec CP - Coût global sans CP</t>
        </is>
      </c>
      <c r="C65" s="6" t="inlineStr"/>
      <c r="D65" s="6" t="inlineStr"/>
    </row>
    <row r="66">
      <c r="A66" s="6" t="inlineStr">
        <is>
          <t>Net mensuel</t>
        </is>
      </c>
      <c r="B66" s="6" t="inlineStr">
        <is>
          <t>Brut hors CP - Charges salariales (sur brut hors CP)</t>
        </is>
      </c>
      <c r="C66" s="6" t="inlineStr"/>
      <c r="D66" s="6" t="inlineStr"/>
    </row>
    <row r="68" ht="24" customHeight="1">
      <c r="A68" s="3" t="inlineStr">
        <is>
          <t>8. DU BRUT AU NET</t>
        </is>
      </c>
      <c r="B68" s="4" t="n"/>
      <c r="C68" s="4" t="n"/>
      <c r="D68" s="4" t="n"/>
    </row>
    <row r="69">
      <c r="A69" s="5" t="inlineStr">
        <is>
          <t>Étape</t>
        </is>
      </c>
      <c r="B69" s="5" t="inlineStr">
        <is>
          <t>Formule</t>
        </is>
      </c>
      <c r="C69" s="5" t="inlineStr"/>
      <c r="D69" s="5" t="inlineStr"/>
    </row>
    <row r="70">
      <c r="A70" s="6" t="inlineStr">
        <is>
          <t>Net avant impôt</t>
        </is>
      </c>
      <c r="B70" s="6" t="inlineStr">
        <is>
          <t>Brut - Charges salariales</t>
        </is>
      </c>
      <c r="C70" s="6" t="inlineStr"/>
      <c r="D70" s="6" t="inlineStr"/>
    </row>
    <row r="71">
      <c r="A71" s="6" t="inlineStr">
        <is>
          <t>+ Forfait télétravail</t>
        </is>
      </c>
      <c r="B71" s="6" t="inlineStr">
        <is>
          <t>min(Jours_TT, 22) × 2,70 €/jour</t>
        </is>
      </c>
      <c r="C71" s="6" t="inlineStr"/>
      <c r="D71" s="6" t="inlineStr"/>
    </row>
    <row r="72">
      <c r="A72" s="6" t="inlineStr">
        <is>
          <t>+ IK</t>
        </is>
      </c>
      <c r="B72" s="6" t="inlineStr">
        <is>
          <t>km × barème (×1,20 si électrique)</t>
        </is>
      </c>
      <c r="C72" s="6" t="inlineStr">
        <is>
          <t>Nouveau V4: véhicule électrique</t>
        </is>
      </c>
      <c r="D72" s="6" t="inlineStr"/>
    </row>
    <row r="73">
      <c r="A73" s="6" t="inlineStr">
        <is>
          <t>+ IGD repas</t>
        </is>
      </c>
      <c r="B73" s="6" t="inlineStr">
        <is>
          <t>Nb repas × barème (selon durée mission)</t>
        </is>
      </c>
      <c r="C73" s="6" t="inlineStr">
        <is>
          <t>Nouveau V4: barème complet</t>
        </is>
      </c>
      <c r="D73" s="6" t="inlineStr"/>
    </row>
    <row r="74">
      <c r="A74" s="6" t="inlineStr">
        <is>
          <t>+ IGD nuitées</t>
        </is>
      </c>
      <c r="B74" s="6" t="inlineStr">
        <is>
          <t>Nb nuits × barème (selon durée + zone)</t>
        </is>
      </c>
      <c r="C74" s="6" t="inlineStr"/>
      <c r="D74" s="6" t="inlineStr"/>
    </row>
    <row r="75">
      <c r="A75" s="6" t="inlineStr">
        <is>
          <t>+ Abonnement Tél/Internet</t>
        </is>
      </c>
      <c r="B75" s="6" t="inlineStr">
        <is>
          <t>Facture × % config (défaut 50%)</t>
        </is>
      </c>
      <c r="C75" s="6" t="inlineStr">
        <is>
          <t>Nouveau V4</t>
        </is>
      </c>
      <c r="D75" s="6" t="inlineStr"/>
    </row>
    <row r="76">
      <c r="A76" s="6" t="inlineStr">
        <is>
          <t>+ Abonnement Transport</t>
        </is>
      </c>
      <c r="B76" s="6" t="inlineStr">
        <is>
          <t>Abonnement × % config (défaut 50%)</t>
        </is>
      </c>
      <c r="C76" s="6" t="inlineStr">
        <is>
          <t>Nouveau V4</t>
        </is>
      </c>
      <c r="D76" s="6" t="inlineStr"/>
    </row>
    <row r="77">
      <c r="A77" s="6" t="inlineStr">
        <is>
          <t>+ Autres frais</t>
        </is>
      </c>
      <c r="B77" s="6" t="inlineStr">
        <is>
          <t>Montant libre</t>
        </is>
      </c>
      <c r="C77" s="6" t="inlineStr"/>
      <c r="D77" s="6" t="inlineStr"/>
    </row>
    <row r="78">
      <c r="A78" s="7">
        <f> NET À PAYER AVANT IMPÔTS</f>
        <v/>
      </c>
      <c r="B78" s="7" t="inlineStr">
        <is>
          <t>Net avant impôt + Total frais remboursés</t>
        </is>
      </c>
      <c r="C78" s="7" t="inlineStr"/>
      <c r="D78" s="7" t="inlineStr"/>
    </row>
    <row r="80" ht="24" customHeight="1">
      <c r="A80" s="3" t="inlineStr">
        <is>
          <t>9. COÛT GLOBAL</t>
        </is>
      </c>
      <c r="B80" s="4" t="n"/>
      <c r="C80" s="4" t="n"/>
      <c r="D80" s="4" t="n"/>
    </row>
    <row r="81">
      <c r="A81" s="5" t="inlineStr">
        <is>
          <t>Calcul</t>
        </is>
      </c>
      <c r="B81" s="5" t="inlineStr">
        <is>
          <t>Formule</t>
        </is>
      </c>
      <c r="C81" s="5" t="inlineStr"/>
      <c r="D81" s="5" t="inlineStr"/>
    </row>
    <row r="82">
      <c r="A82" s="6" t="inlineStr">
        <is>
          <t>Coût Global</t>
        </is>
      </c>
      <c r="B82" s="6" t="inlineStr">
        <is>
          <t>Brut + Charges Patronales + Total Frais</t>
        </is>
      </c>
      <c r="C82" s="6" t="inlineStr"/>
      <c r="D82" s="6" t="inlineStr"/>
    </row>
    <row r="83">
      <c r="A83" s="6" t="inlineStr">
        <is>
          <t>Vérification</t>
        </is>
      </c>
      <c r="B83" s="6" t="inlineStr">
        <is>
          <t>CA = Frais gestion + Coût Global + Provision Réserve</t>
        </is>
      </c>
      <c r="C83" s="6" t="inlineStr"/>
      <c r="D83" s="6" t="inlineStr"/>
    </row>
  </sheetData>
  <mergeCells count="10">
    <mergeCell ref="A1:D1"/>
    <mergeCell ref="A37:D37"/>
    <mergeCell ref="A45:D45"/>
    <mergeCell ref="A80:D80"/>
    <mergeCell ref="A61:D61"/>
    <mergeCell ref="A12:D12"/>
    <mergeCell ref="A3:D3"/>
    <mergeCell ref="A54:D54"/>
    <mergeCell ref="A24:D24"/>
    <mergeCell ref="A68:D6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20" customWidth="1" min="2" max="2"/>
    <col width="18" customWidth="1" min="3" max="3"/>
    <col width="18" customWidth="1" min="4" max="4"/>
    <col width="40" customWidth="1" min="5" max="5"/>
  </cols>
  <sheetData>
    <row r="1" ht="28" customHeight="1">
      <c r="A1" s="1" t="inlineStr">
        <is>
          <t>DÉTAIL DES 24 COTISATIONS SOCIALES 2026</t>
        </is>
      </c>
      <c r="B1" s="2" t="n"/>
      <c r="C1" s="2" t="n"/>
      <c r="D1" s="2" t="n"/>
      <c r="E1" s="2" t="n"/>
    </row>
    <row r="3">
      <c r="A3" s="9" t="inlineStr">
        <is>
          <t>ASSIETTE TOTALITÉ = 100% du Brut</t>
        </is>
      </c>
      <c r="B3" s="10" t="n"/>
      <c r="C3" s="10" t="n"/>
      <c r="D3" s="10" t="n"/>
      <c r="E3" s="10" t="n"/>
    </row>
    <row r="4">
      <c r="A4" s="5" t="inlineStr">
        <is>
          <t>Cotisation</t>
        </is>
      </c>
      <c r="B4" s="5" t="inlineStr">
        <is>
          <t>Assiette</t>
        </is>
      </c>
      <c r="C4" s="5" t="inlineStr">
        <is>
          <t>Taux Patron</t>
        </is>
      </c>
      <c r="D4" s="5" t="inlineStr">
        <is>
          <t>Taux Salarié</t>
        </is>
      </c>
      <c r="E4" s="5" t="inlineStr">
        <is>
          <t>Formule</t>
        </is>
      </c>
    </row>
    <row r="5">
      <c r="A5" s="6" t="inlineStr">
        <is>
          <t>Maladie</t>
        </is>
      </c>
      <c r="B5" s="6" t="inlineStr">
        <is>
          <t>TOTALITÉ</t>
        </is>
      </c>
      <c r="C5" s="6" t="inlineStr">
        <is>
          <t>7,00%</t>
        </is>
      </c>
      <c r="D5" s="6" t="inlineStr">
        <is>
          <t>—</t>
        </is>
      </c>
      <c r="E5" s="6" t="inlineStr">
        <is>
          <t>Brut × taux</t>
        </is>
      </c>
    </row>
    <row r="6">
      <c r="A6" s="6" t="inlineStr">
        <is>
          <t>Maladie complémentaire</t>
        </is>
      </c>
      <c r="B6" s="6" t="inlineStr">
        <is>
          <t>TOTALITÉ</t>
        </is>
      </c>
      <c r="C6" s="6" t="inlineStr">
        <is>
          <t>6,00%</t>
        </is>
      </c>
      <c r="D6" s="6" t="inlineStr">
        <is>
          <t>—</t>
        </is>
      </c>
      <c r="E6" s="6" t="inlineStr"/>
    </row>
    <row r="7">
      <c r="A7" s="6" t="inlineStr">
        <is>
          <t>CSA (Autonomie)</t>
        </is>
      </c>
      <c r="B7" s="6" t="inlineStr">
        <is>
          <t>TOTALITÉ</t>
        </is>
      </c>
      <c r="C7" s="6" t="inlineStr">
        <is>
          <t>0,30%</t>
        </is>
      </c>
      <c r="D7" s="6" t="inlineStr">
        <is>
          <t>—</t>
        </is>
      </c>
      <c r="E7" s="6" t="inlineStr"/>
    </row>
    <row r="8">
      <c r="A8" s="6" t="inlineStr">
        <is>
          <t>Vieillesse déplafonnée</t>
        </is>
      </c>
      <c r="B8" s="6" t="inlineStr">
        <is>
          <t>TOTALITÉ</t>
        </is>
      </c>
      <c r="C8" s="6" t="inlineStr">
        <is>
          <t>2,11%</t>
        </is>
      </c>
      <c r="D8" s="6" t="inlineStr">
        <is>
          <t>0,40%</t>
        </is>
      </c>
      <c r="E8" s="6" t="inlineStr"/>
    </row>
    <row r="9">
      <c r="A9" s="6" t="inlineStr">
        <is>
          <t>Allocations familiales</t>
        </is>
      </c>
      <c r="B9" s="6" t="inlineStr">
        <is>
          <t>TOTALITÉ</t>
        </is>
      </c>
      <c r="C9" s="6" t="inlineStr">
        <is>
          <t>3,45%</t>
        </is>
      </c>
      <c r="D9" s="6" t="inlineStr">
        <is>
          <t>—</t>
        </is>
      </c>
      <c r="E9" s="6" t="inlineStr"/>
    </row>
    <row r="10">
      <c r="A10" s="6" t="inlineStr">
        <is>
          <t>AF complémentaire</t>
        </is>
      </c>
      <c r="B10" s="6" t="inlineStr">
        <is>
          <t>TOTALITÉ</t>
        </is>
      </c>
      <c r="C10" s="6" t="inlineStr">
        <is>
          <t>1,80%</t>
        </is>
      </c>
      <c r="D10" s="6" t="inlineStr">
        <is>
          <t>—</t>
        </is>
      </c>
      <c r="E10" s="6" t="inlineStr"/>
    </row>
    <row r="11">
      <c r="A11" s="6" t="inlineStr">
        <is>
          <t>AT/MP</t>
        </is>
      </c>
      <c r="B11" s="6" t="inlineStr">
        <is>
          <t>TOTALITÉ</t>
        </is>
      </c>
      <c r="C11" s="6" t="inlineStr">
        <is>
          <t>0,64%</t>
        </is>
      </c>
      <c r="D11" s="6" t="inlineStr">
        <is>
          <t>—</t>
        </is>
      </c>
      <c r="E11" s="6" t="inlineStr">
        <is>
          <t>Configurable</t>
        </is>
      </c>
    </row>
    <row r="12">
      <c r="A12" s="6" t="inlineStr">
        <is>
          <t>Chômage</t>
        </is>
      </c>
      <c r="B12" s="6" t="inlineStr">
        <is>
          <t>TOTALITÉ</t>
        </is>
      </c>
      <c r="C12" s="6" t="inlineStr">
        <is>
          <t>4,00%</t>
        </is>
      </c>
      <c r="D12" s="6" t="inlineStr">
        <is>
          <t>—</t>
        </is>
      </c>
      <c r="E12" s="6" t="inlineStr"/>
    </row>
    <row r="13">
      <c r="A13" s="6" t="inlineStr">
        <is>
          <t>AGS</t>
        </is>
      </c>
      <c r="B13" s="6" t="inlineStr">
        <is>
          <t>TOTALITÉ</t>
        </is>
      </c>
      <c r="C13" s="6" t="inlineStr">
        <is>
          <t>0,25%</t>
        </is>
      </c>
      <c r="D13" s="6" t="inlineStr">
        <is>
          <t>—</t>
        </is>
      </c>
      <c r="E13" s="6" t="inlineStr"/>
    </row>
    <row r="14">
      <c r="A14" s="6" t="inlineStr">
        <is>
          <t>Formation professionnelle</t>
        </is>
      </c>
      <c r="B14" s="6" t="inlineStr">
        <is>
          <t>TOTALITÉ</t>
        </is>
      </c>
      <c r="C14" s="6" t="inlineStr">
        <is>
          <t>1,00%</t>
        </is>
      </c>
      <c r="D14" s="6" t="inlineStr">
        <is>
          <t>—</t>
        </is>
      </c>
      <c r="E14" s="6" t="inlineStr"/>
    </row>
    <row r="15">
      <c r="A15" s="6" t="inlineStr">
        <is>
          <t>Taxe d'apprentissage</t>
        </is>
      </c>
      <c r="B15" s="6" t="inlineStr">
        <is>
          <t>TOTALITÉ</t>
        </is>
      </c>
      <c r="C15" s="6" t="inlineStr">
        <is>
          <t>0,59%</t>
        </is>
      </c>
      <c r="D15" s="6" t="inlineStr">
        <is>
          <t>—</t>
        </is>
      </c>
      <c r="E15" s="6" t="inlineStr"/>
    </row>
    <row r="16">
      <c r="A16" s="6" t="inlineStr">
        <is>
          <t>Taxe appr. libératoire</t>
        </is>
      </c>
      <c r="B16" s="6" t="inlineStr">
        <is>
          <t>TOTALITÉ</t>
        </is>
      </c>
      <c r="C16" s="6" t="inlineStr">
        <is>
          <t>0,09%</t>
        </is>
      </c>
      <c r="D16" s="6" t="inlineStr">
        <is>
          <t>—</t>
        </is>
      </c>
      <c r="E16" s="6" t="inlineStr"/>
    </row>
    <row r="17">
      <c r="A17" s="6" t="inlineStr">
        <is>
          <t>Dialogue social</t>
        </is>
      </c>
      <c r="B17" s="6" t="inlineStr">
        <is>
          <t>TOTALITÉ</t>
        </is>
      </c>
      <c r="C17" s="6" t="inlineStr">
        <is>
          <t>0,01%</t>
        </is>
      </c>
      <c r="D17" s="6" t="inlineStr">
        <is>
          <t>—</t>
        </is>
      </c>
      <c r="E17" s="6" t="inlineStr"/>
    </row>
    <row r="19">
      <c r="A19" s="9" t="inlineStr">
        <is>
          <t>ASSIETTE TRANCHE A = min(Brut, PMSS = 4 005 €)</t>
        </is>
      </c>
      <c r="B19" s="10" t="n"/>
      <c r="C19" s="10" t="n"/>
      <c r="D19" s="10" t="n"/>
      <c r="E19" s="10" t="n"/>
    </row>
    <row r="20">
      <c r="A20" s="5" t="inlineStr">
        <is>
          <t>Cotisation</t>
        </is>
      </c>
      <c r="B20" s="5" t="inlineStr">
        <is>
          <t>Assiette</t>
        </is>
      </c>
      <c r="C20" s="5" t="inlineStr">
        <is>
          <t>Taux Patron</t>
        </is>
      </c>
      <c r="D20" s="5" t="inlineStr">
        <is>
          <t>Taux Salarié</t>
        </is>
      </c>
      <c r="E20" s="5" t="inlineStr">
        <is>
          <t>Formule</t>
        </is>
      </c>
    </row>
    <row r="21">
      <c r="A21" s="6" t="inlineStr">
        <is>
          <t>Vieillesse plafonnée</t>
        </is>
      </c>
      <c r="B21" s="6" t="inlineStr">
        <is>
          <t>TRANCHE A</t>
        </is>
      </c>
      <c r="C21" s="6" t="inlineStr">
        <is>
          <t>8,55%</t>
        </is>
      </c>
      <c r="D21" s="6" t="inlineStr">
        <is>
          <t>6,90%</t>
        </is>
      </c>
      <c r="E21" s="6" t="inlineStr">
        <is>
          <t>min(Brut, PMSS) × taux</t>
        </is>
      </c>
    </row>
    <row r="22">
      <c r="A22" s="6" t="inlineStr">
        <is>
          <t>FNAL</t>
        </is>
      </c>
      <c r="B22" s="6" t="inlineStr">
        <is>
          <t>TRANCHE A</t>
        </is>
      </c>
      <c r="C22" s="6" t="inlineStr">
        <is>
          <t>0,10% ou 0,50%</t>
        </is>
      </c>
      <c r="D22" s="6" t="inlineStr">
        <is>
          <t>—</t>
        </is>
      </c>
      <c r="E22" s="6" t="inlineStr">
        <is>
          <t>0,10% si &lt;50 / 0,50% si ≥50</t>
        </is>
      </c>
    </row>
    <row r="23">
      <c r="A23" s="6" t="inlineStr">
        <is>
          <t>Retraite AGIRC-ARRCO T1</t>
        </is>
      </c>
      <c r="B23" s="6" t="inlineStr">
        <is>
          <t>TRANCHE A</t>
        </is>
      </c>
      <c r="C23" s="6" t="inlineStr">
        <is>
          <t>4,72%</t>
        </is>
      </c>
      <c r="D23" s="6" t="inlineStr">
        <is>
          <t>3,15%</t>
        </is>
      </c>
      <c r="E23" s="6" t="inlineStr"/>
    </row>
    <row r="24">
      <c r="A24" s="6" t="inlineStr">
        <is>
          <t>CEG T1</t>
        </is>
      </c>
      <c r="B24" s="6" t="inlineStr">
        <is>
          <t>TRANCHE A</t>
        </is>
      </c>
      <c r="C24" s="6" t="inlineStr">
        <is>
          <t>1,29%</t>
        </is>
      </c>
      <c r="D24" s="6" t="inlineStr">
        <is>
          <t>0,86%</t>
        </is>
      </c>
      <c r="E24" s="6" t="inlineStr"/>
    </row>
    <row r="25">
      <c r="A25" s="6" t="inlineStr">
        <is>
          <t>CET T1</t>
        </is>
      </c>
      <c r="B25" s="6" t="inlineStr">
        <is>
          <t>TRANCHE A</t>
        </is>
      </c>
      <c r="C25" s="6" t="inlineStr">
        <is>
          <t>0,21%</t>
        </is>
      </c>
      <c r="D25" s="6" t="inlineStr">
        <is>
          <t>0,14%</t>
        </is>
      </c>
      <c r="E25" s="6" t="inlineStr"/>
    </row>
    <row r="26">
      <c r="A26" s="6" t="inlineStr">
        <is>
          <t>APEC T1</t>
        </is>
      </c>
      <c r="B26" s="6" t="inlineStr">
        <is>
          <t>TRANCHE A</t>
        </is>
      </c>
      <c r="C26" s="6" t="inlineStr">
        <is>
          <t>0,036%</t>
        </is>
      </c>
      <c r="D26" s="6" t="inlineStr">
        <is>
          <t>0,024%</t>
        </is>
      </c>
      <c r="E26" s="6" t="inlineStr"/>
    </row>
    <row r="27">
      <c r="A27" s="6" t="inlineStr">
        <is>
          <t>Prévoyance décès</t>
        </is>
      </c>
      <c r="B27" s="6" t="inlineStr">
        <is>
          <t>TRANCHE A</t>
        </is>
      </c>
      <c r="C27" s="6" t="inlineStr">
        <is>
          <t>1,59%</t>
        </is>
      </c>
      <c r="D27" s="6" t="inlineStr">
        <is>
          <t>—</t>
        </is>
      </c>
      <c r="E27" s="6" t="inlineStr"/>
    </row>
    <row r="29">
      <c r="A29" s="9" t="inlineStr">
        <is>
          <t>ASSIETTE TRANCHE B = max(0, Brut - PMSS)</t>
        </is>
      </c>
      <c r="B29" s="10" t="n"/>
      <c r="C29" s="10" t="n"/>
      <c r="D29" s="10" t="n"/>
      <c r="E29" s="10" t="n"/>
    </row>
    <row r="30">
      <c r="A30" s="5" t="inlineStr">
        <is>
          <t>Cotisation</t>
        </is>
      </c>
      <c r="B30" s="5" t="inlineStr">
        <is>
          <t>Assiette</t>
        </is>
      </c>
      <c r="C30" s="5" t="inlineStr">
        <is>
          <t>Taux Patron</t>
        </is>
      </c>
      <c r="D30" s="5" t="inlineStr">
        <is>
          <t>Taux Salarié</t>
        </is>
      </c>
      <c r="E30" s="5" t="inlineStr">
        <is>
          <t>Formule</t>
        </is>
      </c>
    </row>
    <row r="31">
      <c r="A31" s="6" t="inlineStr">
        <is>
          <t>Retraite AGIRC-ARRCO T2</t>
        </is>
      </c>
      <c r="B31" s="6" t="inlineStr">
        <is>
          <t>TRANCHE B</t>
        </is>
      </c>
      <c r="C31" s="6" t="inlineStr">
        <is>
          <t>12,95%</t>
        </is>
      </c>
      <c r="D31" s="6" t="inlineStr">
        <is>
          <t>8,64%</t>
        </is>
      </c>
      <c r="E31" s="6" t="inlineStr">
        <is>
          <t>max(0, Brut-PMSS) × taux</t>
        </is>
      </c>
    </row>
    <row r="32">
      <c r="A32" s="6" t="inlineStr">
        <is>
          <t>CEG T2</t>
        </is>
      </c>
      <c r="B32" s="6" t="inlineStr">
        <is>
          <t>TRANCHE B</t>
        </is>
      </c>
      <c r="C32" s="6" t="inlineStr">
        <is>
          <t>1,62%</t>
        </is>
      </c>
      <c r="D32" s="6" t="inlineStr">
        <is>
          <t>1,08%</t>
        </is>
      </c>
      <c r="E32" s="6" t="inlineStr"/>
    </row>
    <row r="33">
      <c r="A33" s="6" t="inlineStr">
        <is>
          <t>CET T2</t>
        </is>
      </c>
      <c r="B33" s="6" t="inlineStr">
        <is>
          <t>TRANCHE B</t>
        </is>
      </c>
      <c r="C33" s="6" t="inlineStr">
        <is>
          <t>0,21%</t>
        </is>
      </c>
      <c r="D33" s="6" t="inlineStr">
        <is>
          <t>0,14%</t>
        </is>
      </c>
      <c r="E33" s="6" t="inlineStr"/>
    </row>
    <row r="34">
      <c r="A34" s="6" t="inlineStr">
        <is>
          <t>APEC T2</t>
        </is>
      </c>
      <c r="B34" s="6" t="inlineStr">
        <is>
          <t>TRANCHE B</t>
        </is>
      </c>
      <c r="C34" s="6" t="inlineStr">
        <is>
          <t>0,036%</t>
        </is>
      </c>
      <c r="D34" s="6" t="inlineStr">
        <is>
          <t>0,024%</t>
        </is>
      </c>
      <c r="E34" s="6" t="inlineStr"/>
    </row>
    <row r="35">
      <c r="A35" s="6" t="inlineStr">
        <is>
          <t>Prévoyance supp. T2</t>
        </is>
      </c>
      <c r="B35" s="6" t="inlineStr">
        <is>
          <t>TRANCHE B</t>
        </is>
      </c>
      <c r="C35" s="6" t="inlineStr">
        <is>
          <t>0,73%</t>
        </is>
      </c>
      <c r="D35" s="6" t="inlineStr">
        <is>
          <t>0,73%</t>
        </is>
      </c>
      <c r="E35" s="6" t="inlineStr"/>
    </row>
    <row r="37">
      <c r="A37" s="9" t="inlineStr">
        <is>
          <t>ASSIETTE CSG = 98,25% × Brut + Prévoyance patronale</t>
        </is>
      </c>
      <c r="B37" s="10" t="n"/>
      <c r="C37" s="10" t="n"/>
      <c r="D37" s="10" t="n"/>
      <c r="E37" s="10" t="n"/>
    </row>
    <row r="38">
      <c r="A38" s="5" t="inlineStr">
        <is>
          <t>Cotisation</t>
        </is>
      </c>
      <c r="B38" s="5" t="inlineStr">
        <is>
          <t>Assiette</t>
        </is>
      </c>
      <c r="C38" s="5" t="inlineStr">
        <is>
          <t>Taux Patron</t>
        </is>
      </c>
      <c r="D38" s="5" t="inlineStr">
        <is>
          <t>Taux Salarié</t>
        </is>
      </c>
      <c r="E38" s="5" t="inlineStr">
        <is>
          <t>Formule</t>
        </is>
      </c>
    </row>
    <row r="39">
      <c r="A39" s="6" t="inlineStr">
        <is>
          <t>CSG déductible</t>
        </is>
      </c>
      <c r="B39" s="6" t="inlineStr">
        <is>
          <t>CSG</t>
        </is>
      </c>
      <c r="C39" s="6" t="inlineStr">
        <is>
          <t>—</t>
        </is>
      </c>
      <c r="D39" s="6" t="inlineStr">
        <is>
          <t>6,80%</t>
        </is>
      </c>
      <c r="E39" s="6" t="inlineStr">
        <is>
          <t>(98,25% × Brut + Prev_pat) × taux</t>
        </is>
      </c>
    </row>
    <row r="40">
      <c r="A40" s="6" t="inlineStr">
        <is>
          <t>CSG/CRDS non déductible</t>
        </is>
      </c>
      <c r="B40" s="6" t="inlineStr">
        <is>
          <t>CSG</t>
        </is>
      </c>
      <c r="C40" s="6" t="inlineStr">
        <is>
          <t>—</t>
        </is>
      </c>
      <c r="D40" s="6" t="inlineStr">
        <is>
          <t>2,90%</t>
        </is>
      </c>
      <c r="E40" s="6" t="inlineStr"/>
    </row>
  </sheetData>
  <mergeCells count="5">
    <mergeCell ref="A29:E29"/>
    <mergeCell ref="A19:E19"/>
    <mergeCell ref="A1:E1"/>
    <mergeCell ref="A37:E37"/>
    <mergeCell ref="A3:E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22" customWidth="1" min="2" max="2"/>
    <col width="22" customWidth="1" min="3" max="3"/>
    <col width="22" customWidth="1" min="4" max="4"/>
  </cols>
  <sheetData>
    <row r="1" ht="28" customHeight="1">
      <c r="A1" s="1" t="inlineStr">
        <is>
          <t>BARÈMES ET CONSTANTES 2026</t>
        </is>
      </c>
      <c r="B1" s="2" t="n"/>
      <c r="C1" s="2" t="n"/>
      <c r="D1" s="2" t="n"/>
    </row>
    <row r="3" ht="24" customHeight="1">
      <c r="A3" s="3" t="inlineStr">
        <is>
          <t>CONSTANTES DE BASE</t>
        </is>
      </c>
      <c r="B3" s="4" t="n"/>
      <c r="C3" s="4" t="n"/>
      <c r="D3" s="4" t="n"/>
    </row>
    <row r="4">
      <c r="A4" s="5" t="inlineStr">
        <is>
          <t>Paramètre</t>
        </is>
      </c>
      <c r="B4" s="5" t="inlineStr">
        <is>
          <t>Valeur</t>
        </is>
      </c>
      <c r="C4" s="5" t="inlineStr">
        <is>
          <t>Unité</t>
        </is>
      </c>
      <c r="D4" s="5" t="inlineStr"/>
    </row>
    <row r="5">
      <c r="A5" s="6" t="inlineStr">
        <is>
          <t>PMSS</t>
        </is>
      </c>
      <c r="B5" s="6" t="inlineStr">
        <is>
          <t>4 005</t>
        </is>
      </c>
      <c r="C5" s="6" t="inlineStr">
        <is>
          <t>€/mois</t>
        </is>
      </c>
      <c r="D5" s="6" t="inlineStr"/>
    </row>
    <row r="6">
      <c r="A6" s="6" t="inlineStr">
        <is>
          <t>SMIC mensuel brut</t>
        </is>
      </c>
      <c r="B6" s="6" t="inlineStr">
        <is>
          <t>1 823,03</t>
        </is>
      </c>
      <c r="C6" s="6" t="inlineStr">
        <is>
          <t>€/mois</t>
        </is>
      </c>
      <c r="D6" s="6" t="inlineStr"/>
    </row>
    <row r="7">
      <c r="A7" s="6" t="inlineStr">
        <is>
          <t>Seuil RGDU</t>
        </is>
      </c>
      <c r="B7" s="6" t="inlineStr">
        <is>
          <t>54 903,36</t>
        </is>
      </c>
      <c r="C7" s="6" t="inlineStr">
        <is>
          <t>€/an (3×SMIC)</t>
        </is>
      </c>
      <c r="D7" s="6" t="inlineStr"/>
    </row>
    <row r="8">
      <c r="A8" s="6" t="inlineStr">
        <is>
          <t>Salaire de base portage</t>
        </is>
      </c>
      <c r="B8" s="6" t="inlineStr">
        <is>
          <t>2 374</t>
        </is>
      </c>
      <c r="C8" s="6" t="inlineStr">
        <is>
          <t>€/mois</t>
        </is>
      </c>
      <c r="D8" s="6" t="inlineStr"/>
    </row>
    <row r="9">
      <c r="A9" s="6" t="inlineStr">
        <is>
          <t>Taux prime d'apport</t>
        </is>
      </c>
      <c r="B9" s="6" t="inlineStr">
        <is>
          <t>5%</t>
        </is>
      </c>
      <c r="C9" s="6" t="inlineStr"/>
      <c r="D9" s="6" t="inlineStr"/>
    </row>
    <row r="10">
      <c r="A10" s="6" t="inlineStr">
        <is>
          <t>Taux congés payés (ICP)</t>
        </is>
      </c>
      <c r="B10" s="6" t="inlineStr">
        <is>
          <t>10%</t>
        </is>
      </c>
      <c r="C10" s="6" t="inlineStr"/>
      <c r="D10" s="6" t="inlineStr"/>
    </row>
    <row r="11">
      <c r="A11" s="6" t="inlineStr">
        <is>
          <t>Taux réserve financière</t>
        </is>
      </c>
      <c r="B11" s="6" t="inlineStr">
        <is>
          <t>10%</t>
        </is>
      </c>
      <c r="C11" s="6" t="inlineStr"/>
      <c r="D11" s="6" t="inlineStr"/>
    </row>
    <row r="12">
      <c r="A12" s="6" t="inlineStr">
        <is>
          <t>Taux frais de gestion</t>
        </is>
      </c>
      <c r="B12" s="6" t="inlineStr">
        <is>
          <t>5%</t>
        </is>
      </c>
      <c r="C12" s="6" t="inlineStr">
        <is>
          <t>du CA</t>
        </is>
      </c>
      <c r="D12" s="6" t="inlineStr"/>
    </row>
    <row r="13">
      <c r="A13" s="6" t="inlineStr">
        <is>
          <t>Forfait social</t>
        </is>
      </c>
      <c r="B13" s="6" t="inlineStr">
        <is>
          <t>8%</t>
        </is>
      </c>
      <c r="C13" s="6" t="inlineStr">
        <is>
          <t>de la prévoyance pat.</t>
        </is>
      </c>
      <c r="D13" s="6" t="inlineStr"/>
    </row>
    <row r="14">
      <c r="A14" s="6" t="inlineStr">
        <is>
          <t>Taux mutuelle</t>
        </is>
      </c>
      <c r="B14" s="6" t="inlineStr">
        <is>
          <t>1,5%</t>
        </is>
      </c>
      <c r="C14" s="6" t="inlineStr">
        <is>
          <t>du PMSS</t>
        </is>
      </c>
      <c r="D14" s="6" t="inlineStr"/>
    </row>
    <row r="15">
      <c r="A15" s="6" t="inlineStr">
        <is>
          <t>Part patronale mutuelle</t>
        </is>
      </c>
      <c r="B15" s="6" t="inlineStr">
        <is>
          <t>50%</t>
        </is>
      </c>
      <c r="C15" s="6" t="inlineStr"/>
      <c r="D15" s="6" t="inlineStr"/>
    </row>
    <row r="16">
      <c r="A16" s="6" t="inlineStr">
        <is>
          <t>TR valeur faciale</t>
        </is>
      </c>
      <c r="B16" s="6" t="inlineStr">
        <is>
          <t>14,36</t>
        </is>
      </c>
      <c r="C16" s="6" t="inlineStr">
        <is>
          <t>€</t>
        </is>
      </c>
      <c r="D16" s="6" t="inlineStr"/>
    </row>
    <row r="17">
      <c r="A17" s="6" t="inlineStr">
        <is>
          <t>TR part employeur max</t>
        </is>
      </c>
      <c r="B17" s="6" t="inlineStr">
        <is>
          <t>7,18</t>
        </is>
      </c>
      <c r="C17" s="6" t="inlineStr">
        <is>
          <t>€</t>
        </is>
      </c>
      <c r="D17" s="6" t="inlineStr"/>
    </row>
    <row r="19" ht="24" customHeight="1">
      <c r="A19" s="3" t="inlineStr">
        <is>
          <t>BARÈME IGD URSSAF 2026 (corrigé V4)</t>
        </is>
      </c>
      <c r="B19" s="4" t="n"/>
      <c r="C19" s="4" t="n"/>
      <c r="D19" s="4" t="n"/>
    </row>
    <row r="20">
      <c r="A20" s="5" t="inlineStr">
        <is>
          <t>Durée mission</t>
        </is>
      </c>
      <c r="B20" s="5" t="inlineStr">
        <is>
          <t>Repas</t>
        </is>
      </c>
      <c r="C20" s="5" t="inlineStr">
        <is>
          <t>Nuitée Province</t>
        </is>
      </c>
      <c r="D20" s="5" t="inlineStr">
        <is>
          <t>Nuitée Paris</t>
        </is>
      </c>
    </row>
    <row r="21">
      <c r="A21" s="6" t="inlineStr">
        <is>
          <t>Moins de 3 mois</t>
        </is>
      </c>
      <c r="B21" s="6" t="inlineStr">
        <is>
          <t>21,40 €</t>
        </is>
      </c>
      <c r="C21" s="6" t="inlineStr">
        <is>
          <t>56,80 €</t>
        </is>
      </c>
      <c r="D21" s="6" t="inlineStr">
        <is>
          <t>76,60 €</t>
        </is>
      </c>
    </row>
    <row r="22">
      <c r="A22" s="6" t="inlineStr">
        <is>
          <t>De 3 à 24 mois</t>
        </is>
      </c>
      <c r="B22" s="6" t="inlineStr">
        <is>
          <t>18,20 €</t>
        </is>
      </c>
      <c r="C22" s="6" t="inlineStr">
        <is>
          <t>48,30 €</t>
        </is>
      </c>
      <c r="D22" s="6" t="inlineStr">
        <is>
          <t>65,10 €</t>
        </is>
      </c>
    </row>
    <row r="23">
      <c r="A23" s="6" t="inlineStr">
        <is>
          <t>Au-delà de 24 mois</t>
        </is>
      </c>
      <c r="B23" s="6" t="inlineStr">
        <is>
          <t>15,00 €</t>
        </is>
      </c>
      <c r="C23" s="6" t="inlineStr">
        <is>
          <t>39,80 €</t>
        </is>
      </c>
      <c r="D23" s="6" t="inlineStr">
        <is>
          <t>53,60 €</t>
        </is>
      </c>
    </row>
    <row r="25" ht="24" customHeight="1">
      <c r="A25" s="3" t="inlineStr">
        <is>
          <t>BARÈME IK VOITURE 2026 (€/km)</t>
        </is>
      </c>
      <c r="B25" s="4" t="n"/>
      <c r="C25" s="4" t="n"/>
      <c r="D25" s="4" t="n"/>
    </row>
    <row r="26">
      <c r="A26" s="5" t="inlineStr">
        <is>
          <t>Puissance fiscale</t>
        </is>
      </c>
      <c r="B26" s="5" t="inlineStr">
        <is>
          <t>Jusqu'à 5 000 km</t>
        </is>
      </c>
      <c r="C26" s="5" t="inlineStr">
        <is>
          <t>5 001 à 20 000 km</t>
        </is>
      </c>
      <c r="D26" s="5" t="inlineStr">
        <is>
          <t>Au-delà 20 000 km</t>
        </is>
      </c>
    </row>
    <row r="27">
      <c r="A27" s="6" t="inlineStr">
        <is>
          <t>3 CV et moins</t>
        </is>
      </c>
      <c r="B27" s="6" t="inlineStr">
        <is>
          <t>0,529</t>
        </is>
      </c>
      <c r="C27" s="6" t="inlineStr">
        <is>
          <t>0,316</t>
        </is>
      </c>
      <c r="D27" s="6" t="inlineStr">
        <is>
          <t>0,370</t>
        </is>
      </c>
    </row>
    <row r="28">
      <c r="A28" s="6" t="inlineStr">
        <is>
          <t>4 CV</t>
        </is>
      </c>
      <c r="B28" s="6" t="inlineStr">
        <is>
          <t>0,606</t>
        </is>
      </c>
      <c r="C28" s="6" t="inlineStr">
        <is>
          <t>0,340</t>
        </is>
      </c>
      <c r="D28" s="6" t="inlineStr">
        <is>
          <t>0,407</t>
        </is>
      </c>
    </row>
    <row r="29">
      <c r="A29" s="6" t="inlineStr">
        <is>
          <t>5 CV</t>
        </is>
      </c>
      <c r="B29" s="6" t="inlineStr">
        <is>
          <t>0,636</t>
        </is>
      </c>
      <c r="C29" s="6" t="inlineStr">
        <is>
          <t>0,357</t>
        </is>
      </c>
      <c r="D29" s="6" t="inlineStr">
        <is>
          <t>0,427</t>
        </is>
      </c>
    </row>
    <row r="30">
      <c r="A30" s="6" t="inlineStr">
        <is>
          <t>6 CV</t>
        </is>
      </c>
      <c r="B30" s="6" t="inlineStr">
        <is>
          <t>0,665</t>
        </is>
      </c>
      <c r="C30" s="6" t="inlineStr">
        <is>
          <t>0,374</t>
        </is>
      </c>
      <c r="D30" s="6" t="inlineStr">
        <is>
          <t>0,447</t>
        </is>
      </c>
    </row>
    <row r="31">
      <c r="A31" s="6" t="inlineStr">
        <is>
          <t>7 CV et plus</t>
        </is>
      </c>
      <c r="B31" s="6" t="inlineStr">
        <is>
          <t>0,697</t>
        </is>
      </c>
      <c r="C31" s="6" t="inlineStr">
        <is>
          <t>0,394</t>
        </is>
      </c>
      <c r="D31" s="6" t="inlineStr">
        <is>
          <t>0,470</t>
        </is>
      </c>
    </row>
    <row r="33">
      <c r="A33" s="9" t="inlineStr">
        <is>
          <t>Véhicule électrique : barème × 1,20 (majoration +20%) — Nouveau V4</t>
        </is>
      </c>
      <c r="B33" s="10" t="n"/>
      <c r="C33" s="10" t="n"/>
      <c r="D33" s="10" t="n"/>
    </row>
    <row r="35" ht="24" customHeight="1">
      <c r="A35" s="3" t="inlineStr">
        <is>
          <t>BARÈME IK MOTO 2026 (€/km)</t>
        </is>
      </c>
      <c r="B35" s="4" t="n"/>
      <c r="C35" s="4" t="n"/>
      <c r="D35" s="4" t="n"/>
    </row>
    <row r="36">
      <c r="A36" s="5" t="inlineStr">
        <is>
          <t>Puissance fiscale</t>
        </is>
      </c>
      <c r="B36" s="5" t="inlineStr">
        <is>
          <t>Jusqu'à 3 000 km</t>
        </is>
      </c>
      <c r="C36" s="5" t="inlineStr">
        <is>
          <t>3 001 à 6 000 km</t>
        </is>
      </c>
      <c r="D36" s="5" t="inlineStr">
        <is>
          <t>Au-delà 6 000 km</t>
        </is>
      </c>
    </row>
    <row r="37">
      <c r="A37" s="6" t="inlineStr">
        <is>
          <t>1-2 CV</t>
        </is>
      </c>
      <c r="B37" s="6" t="inlineStr">
        <is>
          <t>0,395 / 0,468</t>
        </is>
      </c>
      <c r="C37" s="6" t="inlineStr">
        <is>
          <t>0,099 / 0,082</t>
        </is>
      </c>
      <c r="D37" s="6" t="inlineStr">
        <is>
          <t>0,248 / 0,275</t>
        </is>
      </c>
    </row>
    <row r="38">
      <c r="A38" s="6" t="inlineStr">
        <is>
          <t>3-4-5 CV</t>
        </is>
      </c>
      <c r="B38" s="6" t="inlineStr">
        <is>
          <t>0,606 / 0,695 / 0,792</t>
        </is>
      </c>
      <c r="C38" s="6" t="inlineStr">
        <is>
          <t>0,071 / 0,044 / 0,078</t>
        </is>
      </c>
      <c r="D38" s="6" t="inlineStr">
        <is>
          <t>0,308 / 0,352 / 0,455</t>
        </is>
      </c>
    </row>
    <row r="40" ht="24" customHeight="1">
      <c r="A40" s="3" t="inlineStr">
        <is>
          <t>RGDU 2026</t>
        </is>
      </c>
      <c r="B40" s="4" t="n"/>
      <c r="C40" s="4" t="n"/>
      <c r="D40" s="4" t="n"/>
    </row>
    <row r="41">
      <c r="A41" s="5" t="inlineStr">
        <is>
          <t>Paramètre</t>
        </is>
      </c>
      <c r="B41" s="5" t="inlineStr">
        <is>
          <t>&lt; 50 sal.</t>
        </is>
      </c>
      <c r="C41" s="5" t="inlineStr">
        <is>
          <t>≥ 50 sal.</t>
        </is>
      </c>
      <c r="D41" s="5" t="inlineStr"/>
    </row>
    <row r="42">
      <c r="A42" s="6" t="inlineStr">
        <is>
          <t>Tmin</t>
        </is>
      </c>
      <c r="B42" s="6" t="inlineStr">
        <is>
          <t>0,02</t>
        </is>
      </c>
      <c r="C42" s="6" t="inlineStr">
        <is>
          <t>0,02</t>
        </is>
      </c>
      <c r="D42" s="6" t="inlineStr"/>
    </row>
    <row r="43">
      <c r="A43" s="6" t="inlineStr">
        <is>
          <t>Tdelta</t>
        </is>
      </c>
      <c r="B43" s="6" t="inlineStr">
        <is>
          <t>0,3781</t>
        </is>
      </c>
      <c r="C43" s="6" t="inlineStr">
        <is>
          <t>0,3821</t>
        </is>
      </c>
      <c r="D43" s="6" t="inlineStr"/>
    </row>
    <row r="44">
      <c r="A44" s="6" t="inlineStr">
        <is>
          <t>Exposant</t>
        </is>
      </c>
      <c r="B44" s="6" t="inlineStr">
        <is>
          <t>1,75</t>
        </is>
      </c>
      <c r="C44" s="6" t="inlineStr">
        <is>
          <t>1,75</t>
        </is>
      </c>
      <c r="D44" s="6" t="inlineStr"/>
    </row>
    <row r="45">
      <c r="A45" s="6" t="inlineStr">
        <is>
          <t>Coefficient max</t>
        </is>
      </c>
      <c r="B45" s="6" t="inlineStr">
        <is>
          <t>0,3981</t>
        </is>
      </c>
      <c r="C45" s="6" t="inlineStr">
        <is>
          <t>0,4021</t>
        </is>
      </c>
      <c r="D45" s="6" t="inlineStr"/>
    </row>
  </sheetData>
  <mergeCells count="7">
    <mergeCell ref="A1:D1"/>
    <mergeCell ref="A40:D40"/>
    <mergeCell ref="A35:D35"/>
    <mergeCell ref="A3:D3"/>
    <mergeCell ref="A25:D25"/>
    <mergeCell ref="A33:D33"/>
    <mergeCell ref="A19:D1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40" customWidth="1" min="2" max="2"/>
    <col width="40" customWidth="1" min="3" max="3"/>
    <col width="20" customWidth="1" min="4" max="4"/>
  </cols>
  <sheetData>
    <row r="1" ht="28" customHeight="1">
      <c r="A1" s="1" t="inlineStr">
        <is>
          <t>DIFFÉRENCES CDI vs CDD</t>
        </is>
      </c>
      <c r="B1" s="2" t="n"/>
      <c r="C1" s="2" t="n"/>
      <c r="D1" s="2" t="n"/>
    </row>
    <row r="3">
      <c r="A3" s="5" t="inlineStr">
        <is>
          <t>Élément</t>
        </is>
      </c>
      <c r="B3" s="5" t="inlineStr">
        <is>
          <t>CDI</t>
        </is>
      </c>
      <c r="C3" s="5" t="inlineStr">
        <is>
          <t>CDD</t>
        </is>
      </c>
      <c r="D3" s="5" t="inlineStr">
        <is>
          <t>Impact</t>
        </is>
      </c>
    </row>
    <row r="4">
      <c r="A4" s="6" t="inlineStr">
        <is>
          <t>Nom de la réserve</t>
        </is>
      </c>
      <c r="B4" s="6" t="inlineStr">
        <is>
          <t>Réserve financière</t>
        </is>
      </c>
      <c r="C4" s="6" t="inlineStr">
        <is>
          <t>Indemnité de précarité</t>
        </is>
      </c>
      <c r="D4" s="6" t="inlineStr">
        <is>
          <t>Labels</t>
        </is>
      </c>
    </row>
    <row r="5">
      <c r="A5" s="8" t="inlineStr">
        <is>
          <t>Formule réserve/précarité</t>
        </is>
      </c>
      <c r="B5" s="8" t="inlineStr">
        <is>
          <t>Base × 10% = 237,40€</t>
        </is>
      </c>
      <c r="C5" s="8" t="inlineStr">
        <is>
          <t>(Base + Prime) × 10% = 249,27€</t>
        </is>
      </c>
      <c r="D5" s="8" t="inlineStr">
        <is>
          <t>+11,87€</t>
        </is>
      </c>
    </row>
    <row r="6">
      <c r="A6" s="8" t="inlineStr">
        <is>
          <t>Base ICP (réintégrée)</t>
        </is>
      </c>
      <c r="B6" s="8" t="inlineStr">
        <is>
          <t>Base+Prime+Réserve+Complément</t>
        </is>
      </c>
      <c r="C6" s="8" t="inlineStr">
        <is>
          <t>Base+Prime+Précarité</t>
        </is>
      </c>
      <c r="D6" s="8" t="inlineStr">
        <is>
          <t>Complément HORS base ICP</t>
        </is>
      </c>
    </row>
    <row r="7">
      <c r="A7" s="6" t="inlineStr">
        <is>
          <t>Base ICP (provisionnée)</t>
        </is>
      </c>
      <c r="B7" s="6" t="inlineStr">
        <is>
          <t>Base+Prime+Complément</t>
        </is>
      </c>
      <c r="C7" s="6" t="inlineStr">
        <is>
          <t>Base+Prime+Complément</t>
        </is>
      </c>
      <c r="D7" s="6" t="inlineStr">
        <is>
          <t>Identique</t>
        </is>
      </c>
    </row>
    <row r="8">
      <c r="A8" s="6" t="inlineStr">
        <is>
          <t>Convergence (réintégrée)</t>
        </is>
      </c>
      <c r="B8" s="6" t="inlineStr">
        <is>
          <t>ICP = pool × CP</t>
        </is>
      </c>
      <c r="C8" s="6" t="inlineStr">
        <is>
          <t>ICP = (Base+Prime+Précarité) × CP</t>
        </is>
      </c>
      <c r="D8" s="6" t="inlineStr">
        <is>
          <t>ICP fixe, pas variable</t>
        </is>
      </c>
    </row>
    <row r="9">
      <c r="A9" s="6" t="inlineStr">
        <is>
          <t>Provision</t>
        </is>
      </c>
      <c r="B9" s="6" t="inlineStr">
        <is>
          <t>Provision Réserve Financière</t>
        </is>
      </c>
      <c r="C9" s="6" t="inlineStr">
        <is>
          <t>Provision Indemnité de Précarité</t>
        </is>
      </c>
      <c r="D9" s="6" t="inlineStr">
        <is>
          <t>Labels</t>
        </is>
      </c>
    </row>
    <row r="10">
      <c r="A10" s="6" t="inlineStr">
        <is>
          <t>Brut résultant</t>
        </is>
      </c>
      <c r="B10" s="6" t="inlineStr">
        <is>
          <t>Plus élevé (ICP sur tout)</t>
        </is>
      </c>
      <c r="C10" s="6" t="inlineStr">
        <is>
          <t>Plus bas (ICP partiel)</t>
        </is>
      </c>
      <c r="D10" s="6" t="inlineStr">
        <is>
          <t>Écart ~68€</t>
        </is>
      </c>
    </row>
    <row r="13" ht="24" customHeight="1">
      <c r="A13" s="3" t="inlineStr">
        <is>
          <t>EXEMPLE COMPARATIF (TJM 500€, 19j, 5% gestion, réintégrée)</t>
        </is>
      </c>
      <c r="B13" s="4" t="n"/>
      <c r="C13" s="4" t="n"/>
      <c r="D13" s="4" t="n"/>
    </row>
    <row r="14">
      <c r="A14" s="5" t="inlineStr">
        <is>
          <t>Élément</t>
        </is>
      </c>
      <c r="B14" s="5" t="inlineStr">
        <is>
          <t>CDI</t>
        </is>
      </c>
      <c r="C14" s="5" t="inlineStr">
        <is>
          <t>CDD</t>
        </is>
      </c>
      <c r="D14" s="5" t="inlineStr">
        <is>
          <t>Écart</t>
        </is>
      </c>
    </row>
    <row r="15">
      <c r="A15" s="6" t="inlineStr">
        <is>
          <t>Salaire de base</t>
        </is>
      </c>
      <c r="B15" s="6" t="inlineStr">
        <is>
          <t>2 374,00€</t>
        </is>
      </c>
      <c r="C15" s="6" t="inlineStr">
        <is>
          <t>2 374,00€</t>
        </is>
      </c>
      <c r="D15" s="6" t="inlineStr">
        <is>
          <t>0</t>
        </is>
      </c>
    </row>
    <row r="16">
      <c r="A16" s="6" t="inlineStr">
        <is>
          <t>Prime d'apport</t>
        </is>
      </c>
      <c r="B16" s="6" t="inlineStr">
        <is>
          <t>118,70€</t>
        </is>
      </c>
      <c r="C16" s="6" t="inlineStr">
        <is>
          <t>118,70€</t>
        </is>
      </c>
      <c r="D16" s="6" t="inlineStr">
        <is>
          <t>0</t>
        </is>
      </c>
    </row>
    <row r="17">
      <c r="A17" s="8" t="inlineStr">
        <is>
          <t>Réserve / Précarité</t>
        </is>
      </c>
      <c r="B17" s="8" t="inlineStr">
        <is>
          <t>237,40€</t>
        </is>
      </c>
      <c r="C17" s="8" t="inlineStr">
        <is>
          <t>249,27€</t>
        </is>
      </c>
      <c r="D17" s="8" t="inlineStr">
        <is>
          <t>+11,87€</t>
        </is>
      </c>
    </row>
    <row r="18">
      <c r="A18" s="6" t="inlineStr">
        <is>
          <t>Pool (convergé)</t>
        </is>
      </c>
      <c r="B18" s="6" t="inlineStr">
        <is>
          <t>~5 696€</t>
        </is>
      </c>
      <c r="C18" s="6" t="inlineStr">
        <is>
          <t>~5 696€</t>
        </is>
      </c>
      <c r="D18" s="6" t="inlineStr">
        <is>
          <t>≈0</t>
        </is>
      </c>
    </row>
    <row r="19">
      <c r="A19" s="8" t="inlineStr">
        <is>
          <t>Complément total</t>
        </is>
      </c>
      <c r="B19" s="8" t="inlineStr">
        <is>
          <t>~2 966€</t>
        </is>
      </c>
      <c r="C19" s="8" t="inlineStr">
        <is>
          <t>~2 954€</t>
        </is>
      </c>
      <c r="D19" s="8" t="inlineStr">
        <is>
          <t>~-12€</t>
        </is>
      </c>
    </row>
    <row r="20">
      <c r="A20" s="8" t="inlineStr">
        <is>
          <t>ICP</t>
        </is>
      </c>
      <c r="B20" s="8" t="inlineStr">
        <is>
          <t>~570€ (sur tout)</t>
        </is>
      </c>
      <c r="C20" s="8" t="inlineStr">
        <is>
          <t>~274€ (partiel)</t>
        </is>
      </c>
      <c r="D20" s="8" t="inlineStr">
        <is>
          <t>~-296€</t>
        </is>
      </c>
    </row>
    <row r="21">
      <c r="A21" s="8" t="inlineStr">
        <is>
          <t>Salaire Brut</t>
        </is>
      </c>
      <c r="B21" s="8" t="inlineStr">
        <is>
          <t>~6 266€</t>
        </is>
      </c>
      <c r="C21" s="8" t="inlineStr">
        <is>
          <t>~5 977€</t>
        </is>
      </c>
      <c r="D21" s="8" t="inlineStr">
        <is>
          <t>~-289€</t>
        </is>
      </c>
    </row>
  </sheetData>
  <mergeCells count="2">
    <mergeCell ref="A1:D1"/>
    <mergeCell ref="A13:D1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5" customWidth="1" min="2" max="2"/>
    <col width="50" customWidth="1" min="3" max="3"/>
    <col width="15" customWidth="1" min="4" max="4"/>
  </cols>
  <sheetData>
    <row r="1" ht="28" customHeight="1">
      <c r="A1" s="1" t="inlineStr">
        <is>
          <t>LISTE DES NOUVEAUTÉS V4 IMPLÉMENTÉES</t>
        </is>
      </c>
      <c r="B1" s="2" t="n"/>
      <c r="C1" s="2" t="n"/>
      <c r="D1" s="2" t="n"/>
    </row>
    <row r="3">
      <c r="A3" s="5" t="inlineStr">
        <is>
          <t>#</t>
        </is>
      </c>
      <c r="B3" s="5" t="inlineStr">
        <is>
          <t>Feature</t>
        </is>
      </c>
      <c r="C3" s="5" t="inlineStr">
        <is>
          <t>Détail</t>
        </is>
      </c>
      <c r="D3" s="5" t="inlineStr">
        <is>
          <t>Status</t>
        </is>
      </c>
    </row>
    <row r="4">
      <c r="A4" s="6" t="inlineStr">
        <is>
          <t>1</t>
        </is>
      </c>
      <c r="B4" s="6" t="inlineStr">
        <is>
          <t>IGD barème complet</t>
        </is>
      </c>
      <c r="C4" s="6" t="inlineStr">
        <is>
          <t>3 périodes (&lt; 3 mois, 3-24, &gt; 24) × 3 zones. Correction 56,80€</t>
        </is>
      </c>
      <c r="D4" s="6" t="inlineStr">
        <is>
          <t>✓</t>
        </is>
      </c>
    </row>
    <row r="5">
      <c r="A5" s="6" t="inlineStr">
        <is>
          <t>2</t>
        </is>
      </c>
      <c r="B5" s="6" t="inlineStr">
        <is>
          <t>Véhicule électrique</t>
        </is>
      </c>
      <c r="C5" s="6" t="inlineStr">
        <is>
          <t>Majoration +20% sur barème IK standard</t>
        </is>
      </c>
      <c r="D5" s="6" t="inlineStr">
        <is>
          <t>✓</t>
        </is>
      </c>
    </row>
    <row r="6">
      <c r="A6" s="6" t="inlineStr">
        <is>
          <t>3</t>
        </is>
      </c>
      <c r="B6" s="6" t="inlineStr">
        <is>
          <t>Calcul km par adresse</t>
        </is>
      </c>
      <c r="C6" s="6" t="inlineStr">
        <is>
          <t>API adresse.data.gouv.fr + OSRM (gratuit)</t>
        </is>
      </c>
      <c r="D6" s="6" t="inlineStr">
        <is>
          <t>✓</t>
        </is>
      </c>
    </row>
    <row r="7">
      <c r="A7" s="6" t="inlineStr">
        <is>
          <t>4</t>
        </is>
      </c>
      <c r="B7" s="6" t="inlineStr">
        <is>
          <t>% Tél/Internet</t>
        </is>
      </c>
      <c r="C7" s="6" t="inlineStr">
        <is>
          <t>Config: % prise en charge de la facture</t>
        </is>
      </c>
      <c r="D7" s="6" t="inlineStr">
        <is>
          <t>✓</t>
        </is>
      </c>
    </row>
    <row r="8">
      <c r="A8" s="6" t="inlineStr">
        <is>
          <t>5</t>
        </is>
      </c>
      <c r="B8" s="6" t="inlineStr">
        <is>
          <t>% Transport</t>
        </is>
      </c>
      <c r="C8" s="6" t="inlineStr">
        <is>
          <t>Config: % prise en charge de l'abonnement</t>
        </is>
      </c>
      <c r="D8" s="6" t="inlineStr">
        <is>
          <t>✓</t>
        </is>
      </c>
    </row>
    <row r="9">
      <c r="A9" s="6" t="inlineStr">
        <is>
          <t>6</t>
        </is>
      </c>
      <c r="B9" s="6" t="inlineStr">
        <is>
          <t>Invitation déjeuner</t>
        </is>
      </c>
      <c r="C9" s="6" t="inlineStr">
        <is>
          <t>Nouveau champ, déduit des TR</t>
        </is>
      </c>
      <c r="D9" s="6" t="inlineStr">
        <is>
          <t>✓</t>
        </is>
      </c>
    </row>
    <row r="10">
      <c r="A10" s="6" t="inlineStr">
        <is>
          <t>7</t>
        </is>
      </c>
      <c r="B10" s="6" t="inlineStr">
        <is>
          <t>Journées / Demi-journées</t>
        </is>
      </c>
      <c r="C10" s="6" t="inlineStr">
        <is>
          <t>2 champs, jours produits = J + DJ×0.5</t>
        </is>
      </c>
      <c r="D10" s="6" t="inlineStr">
        <is>
          <t>✓</t>
        </is>
      </c>
    </row>
    <row r="11">
      <c r="A11" s="6" t="inlineStr">
        <is>
          <t>8</t>
        </is>
      </c>
      <c r="B11" s="6" t="inlineStr">
        <is>
          <t>TR automatique</t>
        </is>
      </c>
      <c r="C11" s="6" t="inlineStr">
        <is>
          <t>Jours - IGD repas - Invitations - Demi-journées</t>
        </is>
      </c>
      <c r="D11" s="6" t="inlineStr">
        <is>
          <t>✓</t>
        </is>
      </c>
    </row>
    <row r="12">
      <c r="A12" s="6" t="inlineStr">
        <is>
          <t>9</t>
        </is>
      </c>
      <c r="B12" s="6" t="inlineStr">
        <is>
          <t>Frais partagés (%)</t>
        </is>
      </c>
      <c r="C12" s="6" t="inlineStr">
        <is>
          <t>Déduits du CA dans Montant Disponible</t>
        </is>
      </c>
      <c r="D12" s="6" t="inlineStr">
        <is>
          <t>✓</t>
        </is>
      </c>
    </row>
    <row r="13">
      <c r="A13" s="6" t="inlineStr">
        <is>
          <t>10</t>
        </is>
      </c>
      <c r="B13" s="6" t="inlineStr">
        <is>
          <t>Commission apporteur</t>
        </is>
      </c>
      <c r="C13" s="6" t="inlineStr">
        <is>
          <t>€ ou %, déduit du Montant Disponible</t>
        </is>
      </c>
      <c r="D13" s="6" t="inlineStr">
        <is>
          <t>✓</t>
        </is>
      </c>
    </row>
    <row r="14">
      <c r="A14" s="6" t="inlineStr">
        <is>
          <t>11</t>
        </is>
      </c>
      <c r="B14" s="6" t="inlineStr">
        <is>
          <t>Montant Disponible V4</t>
        </is>
      </c>
      <c r="C14" s="6" t="inlineStr">
        <is>
          <t>CA - Gestion - Intermédiation - Partagés - Commission</t>
        </is>
      </c>
      <c r="D14" s="6" t="inlineStr">
        <is>
          <t>✓</t>
        </is>
      </c>
    </row>
    <row r="15">
      <c r="A15" s="6" t="inlineStr">
        <is>
          <t>12</t>
        </is>
      </c>
      <c r="B15" s="6" t="inlineStr">
        <is>
          <t>Coût Global en KPI</t>
        </is>
      </c>
      <c r="C15" s="6" t="inlineStr">
        <is>
          <t>Brut + Charges Pat + Frais</t>
        </is>
      </c>
      <c r="D15" s="6" t="inlineStr">
        <is>
          <t>✓</t>
        </is>
      </c>
    </row>
    <row r="16">
      <c r="A16" s="6" t="inlineStr">
        <is>
          <t>13</t>
        </is>
      </c>
      <c r="B16" s="6" t="inlineStr">
        <is>
          <t>Bulletin restructuré</t>
        </is>
      </c>
      <c r="C16" s="6" t="inlineStr">
        <is>
          <t>Brut / Charges / Frais / Net (sans détail cotis)</t>
        </is>
      </c>
      <c r="D16" s="6" t="inlineStr">
        <is>
          <t>✓</t>
        </is>
      </c>
    </row>
    <row r="17">
      <c r="A17" s="6" t="inlineStr">
        <is>
          <t>14</t>
        </is>
      </c>
      <c r="B17" s="6" t="inlineStr">
        <is>
          <t>Labels renommés</t>
        </is>
      </c>
      <c r="C17" s="6" t="inlineStr">
        <is>
          <t>Net à payer avant impôt, Virement retiré</t>
        </is>
      </c>
      <c r="D17" s="6" t="inlineStr">
        <is>
          <t>✓</t>
        </is>
      </c>
    </row>
    <row r="18">
      <c r="A18" s="6" t="inlineStr">
        <is>
          <t>15</t>
        </is>
      </c>
      <c r="B18" s="6" t="inlineStr">
        <is>
          <t>Camembert S+PS</t>
        </is>
      </c>
      <c r="C18" s="6" t="inlineStr">
        <is>
          <t>Bleu/rose, taux CA→Net, légende</t>
        </is>
      </c>
      <c r="D18" s="6" t="inlineStr">
        <is>
          <t>✓</t>
        </is>
      </c>
    </row>
    <row r="19">
      <c r="A19" s="6" t="inlineStr">
        <is>
          <t>16</t>
        </is>
      </c>
      <c r="B19" s="6" t="inlineStr">
        <is>
          <t>Menu déroulant BU</t>
        </is>
      </c>
      <c r="C19" s="6" t="inlineStr">
        <is>
          <t>Membres BU pour signature PDF/mail</t>
        </is>
      </c>
      <c r="D19" s="6" t="inlineStr">
        <is>
          <t>✓</t>
        </is>
      </c>
    </row>
    <row r="20">
      <c r="A20" s="6" t="inlineStr">
        <is>
          <t>17</t>
        </is>
      </c>
      <c r="B20" s="6" t="inlineStr">
        <is>
          <t>CDI / CDD</t>
        </is>
      </c>
      <c r="C20" s="6" t="inlineStr">
        <is>
          <t>Indemnité précarité = (Base+Prime)×10%</t>
        </is>
      </c>
      <c r="D20" s="6" t="inlineStr">
        <is>
          <t>✓</t>
        </is>
      </c>
    </row>
    <row r="21">
      <c r="A21" s="6" t="inlineStr">
        <is>
          <t>18</t>
        </is>
      </c>
      <c r="B21" s="6" t="inlineStr">
        <is>
          <t>Temps complet/partiel</t>
        </is>
      </c>
      <c r="C21" s="6" t="inlineStr">
        <is>
          <t>Prorata base, réserve, PMSS</t>
        </is>
      </c>
      <c r="D21" s="6" t="inlineStr">
        <is>
          <t>✓</t>
        </is>
      </c>
    </row>
    <row r="22">
      <c r="A22" s="6" t="inlineStr">
        <is>
          <t>19</t>
        </is>
      </c>
      <c r="B22" s="6" t="inlineStr">
        <is>
          <t>Provisions CP</t>
        </is>
      </c>
      <c r="C22" s="6" t="inlineStr">
        <is>
          <t>Option: ICP provisionnées, brut hors CP</t>
        </is>
      </c>
      <c r="D22" s="6" t="inlineStr">
        <is>
          <t>✓</t>
        </is>
      </c>
    </row>
    <row r="23">
      <c r="A23" s="6" t="inlineStr">
        <is>
          <t>20</t>
        </is>
      </c>
      <c r="B23" s="6" t="inlineStr">
        <is>
          <t>Réserve réintégrée fix</t>
        </is>
      </c>
      <c r="C23" s="6" t="inlineStr">
        <is>
          <t>Réserve dans brut, ICP inclut réserve</t>
        </is>
      </c>
      <c r="D23" s="6" t="inlineStr">
        <is>
          <t>✓</t>
        </is>
      </c>
    </row>
    <row r="24">
      <c r="A24" s="6" t="inlineStr">
        <is>
          <t>21</t>
        </is>
      </c>
      <c r="B24" s="6" t="inlineStr">
        <is>
          <t>Mail template V4</t>
        </is>
      </c>
      <c r="C24" s="6" t="inlineStr">
        <is>
          <t>Format BU S+PS avec détail calcul</t>
        </is>
      </c>
      <c r="D24" s="6" t="inlineStr">
        <is>
          <t>✓</t>
        </is>
      </c>
    </row>
    <row r="25">
      <c r="A25" s="6" t="inlineStr">
        <is>
          <t>22</t>
        </is>
      </c>
      <c r="B25" s="6" t="inlineStr">
        <is>
          <t>PDF modèle Signe+</t>
        </is>
      </c>
      <c r="C25" s="6" t="inlineStr">
        <is>
          <t>Logo, camembert, encadrés roses, accents</t>
        </is>
      </c>
      <c r="D25" s="6" t="inlineStr">
        <is>
          <t>✓</t>
        </is>
      </c>
    </row>
    <row r="26">
      <c r="A26" s="6" t="inlineStr">
        <is>
          <t>23</t>
        </is>
      </c>
      <c r="B26" s="6" t="inlineStr">
        <is>
          <t>Polices bundlées</t>
        </is>
      </c>
      <c r="C26" s="6" t="inlineStr">
        <is>
          <t>DejaVu dans fonts/ (pas de dépendance système)</t>
        </is>
      </c>
      <c r="D26" s="6" t="inlineStr">
        <is>
          <t>✓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2026-03-16T15:11:01Z</dcterms:created>
  <dcterms:modified xmlns:dcterms="http://purl.org/dc/terms/" xmlns:xsi="http://www.w3.org/2001/XMLSchema-instance" xsi:type="dcterms:W3CDTF">2026-03-16T15:11:02Z</dcterms:modified>
</cp:coreProperties>
</file>